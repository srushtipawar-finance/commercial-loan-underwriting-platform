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_Statements" sheetId="1" state="visible" r:id="rId3"/>
    <sheet name="Ratio_Analysis" sheetId="2" state="visible" r:id="rId4"/>
    <sheet name="Credit_Scorecard" sheetId="3" state="visible" r:id="rId5"/>
    <sheet name="Loan_Structure" sheetId="4" state="visible" r:id="rId6"/>
    <sheet name="Collateral_Analysis" sheetId="5" state="visible" r:id="rId7"/>
    <sheet name="Amortization_Schedule" sheetId="6" state="visible" r:id="rId8"/>
    <sheet name="Sensitivity_Analysis" sheetId="7" state="visible" r:id="rId9"/>
    <sheet name="Credit_Committee_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<sst xmlns="http://schemas.openxmlformats.org/spreadsheetml/2006/main" count="310" uniqueCount="278">
  <si>
    <t xml:space="preserve">MIDWEST PRECISION PARTS LLC — FINANCIAL STATEMENTS</t>
  </si>
  <si>
    <t xml:space="preserve">Credit Analysis  |  Prepared by: Srushti Mahant Pawar  |  Date: June 2025</t>
  </si>
  <si>
    <t xml:space="preserve">INCOME STATEMENT (USD)</t>
  </si>
  <si>
    <t xml:space="preserve">Line Item</t>
  </si>
  <si>
    <t xml:space="preserve">FY 2022</t>
  </si>
  <si>
    <t xml:space="preserve">FY 2023</t>
  </si>
  <si>
    <t xml:space="preserve">FY 2024</t>
  </si>
  <si>
    <t xml:space="preserve">Notes</t>
  </si>
  <si>
    <t xml:space="preserve">Revenue</t>
  </si>
  <si>
    <t xml:space="preserve">Declining 8% YoY — EV transition impact</t>
  </si>
  <si>
    <t xml:space="preserve">Cost of Goods Sold (COGS)</t>
  </si>
  <si>
    <t xml:space="preserve">65% of revenue</t>
  </si>
  <si>
    <t xml:space="preserve">Gross Profit</t>
  </si>
  <si>
    <t xml:space="preserve">Formula — auto-calculates</t>
  </si>
  <si>
    <t xml:space="preserve">SG&amp;A Expenses</t>
  </si>
  <si>
    <t xml:space="preserve">15% of revenue</t>
  </si>
  <si>
    <t xml:space="preserve">Depreciation &amp; Amortization</t>
  </si>
  <si>
    <t xml:space="preserve">Straight-line, $1.2M/year</t>
  </si>
  <si>
    <t xml:space="preserve">EBIT (Operating Income)</t>
  </si>
  <si>
    <t xml:space="preserve">Formula</t>
  </si>
  <si>
    <t xml:space="preserve">Interest Expense</t>
  </si>
  <si>
    <t xml:space="preserve">Includes existing debt service</t>
  </si>
  <si>
    <t xml:space="preserve">EBT (Pre-Tax Income)</t>
  </si>
  <si>
    <t xml:space="preserve">Income Tax (25%)</t>
  </si>
  <si>
    <t xml:space="preserve">25% effective tax rate</t>
  </si>
  <si>
    <t xml:space="preserve">Net Income</t>
  </si>
  <si>
    <t xml:space="preserve">EBITDA</t>
  </si>
  <si>
    <t xml:space="preserve">EBIT + D&amp;A</t>
  </si>
  <si>
    <t xml:space="preserve">BALANCE SHEET (USD)</t>
  </si>
  <si>
    <t xml:space="preserve">ASSETS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</si>
  <si>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</si>
  <si>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</si>
  <si>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</si>
  <si>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</si>
  <si>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Property, Plant &amp; Equipment (Net)</t>
  </si>
  <si>
    <t xml:space="preserve">Intangible Assets</t>
  </si>
  <si>
    <t xml:space="preserve">Other Long-Term Assets (Deferred Tax &amp; ROU)</t>
  </si>
  <si>
    <t xml:space="preserve">Total Assets</t>
  </si>
  <si>
    <t xml:space="preserve">LIABILITIES</t>
  </si>
  <si>
    <t xml:space="preserve">Accounts Payable</t>
  </si>
  <si>
    <t xml:space="preserve">Short-Term Debt</t>
  </si>
  <si>
    <t xml:space="preserve">Total Current Liabilities</t>
  </si>
  <si>
    <t xml:space="preserve">Long-Term Debt</t>
  </si>
  <si>
    <t xml:space="preserve">Total Liabilities</t>
  </si>
  <si>
    <t xml:space="preserve">EQUITY</t>
  </si>
  <si>
    <t xml:space="preserve">Retained Earnings</t>
  </si>
  <si>
    <t xml:space="preserve">Common Stock</t>
  </si>
  <si>
    <t xml:space="preserve">Total Equity</t>
  </si>
  <si>
    <t xml:space="preserve">Total Liabilities &amp; Equity</t>
  </si>
  <si>
    <t xml:space="preserve">CASH FLOW STATEMENT (USD)</t>
  </si>
  <si>
    <t xml:space="preserve">OPERATING ACTIVITIES</t>
  </si>
  <si>
    <t xml:space="preserve">Add: Depreciation &amp; Amortization</t>
  </si>
  <si>
    <t xml:space="preserve">Change in Accounts Receivable</t>
  </si>
  <si>
    <t xml:space="preserve">Change in Inventory</t>
  </si>
  <si>
    <t xml:space="preserve">Change in Accounts Payable</t>
  </si>
  <si>
    <t xml:space="preserve">Cash from Operations</t>
  </si>
  <si>
    <t xml:space="preserve">INVESTING ACTIVITIES</t>
  </si>
  <si>
    <t xml:space="preserve">Capital Expenditures</t>
  </si>
  <si>
    <t xml:space="preserve">Cash from Investing</t>
  </si>
  <si>
    <t xml:space="preserve">FINANCING ACTIVITIES</t>
  </si>
  <si>
    <t xml:space="preserve">Debt Repayment</t>
  </si>
  <si>
    <t xml:space="preserve">Cash from Financing</t>
  </si>
  <si>
    <t xml:space="preserve">NET CHANGE IN CASH</t>
  </si>
  <si>
    <t xml:space="preserve">RATIO ANALYSIS — MIDWEST PRECISION PARTS LLC</t>
  </si>
  <si>
    <t xml:space="preserve">Key Credit Metrics  |  FY 2022 – FY 2024  |  vs. Industry Benchmarks</t>
  </si>
  <si>
    <t xml:space="preserve">Ratio</t>
  </si>
  <si>
    <t xml:space="preserve">Trend</t>
  </si>
  <si>
    <t xml:space="preserve">Industry Benchmark</t>
  </si>
  <si>
    <t xml:space="preserve">Assessment</t>
  </si>
  <si>
    <t xml:space="preserve">Debt Service Coverage Ratio (DSCR)</t>
  </si>
  <si>
    <t xml:space="preserve">Cash from Ops ÷ Total Debt Service</t>
  </si>
  <si>
    <t xml:space="preserve">&gt; 1.25x</t>
  </si>
  <si>
    <t xml:space="preserve">Debt / EBITDA</t>
  </si>
  <si>
    <t xml:space="preserve">Total Debt ÷ EBITDA</t>
  </si>
  <si>
    <t xml:space="preserve">&lt; 4.0x</t>
  </si>
  <si>
    <t xml:space="preserve">Interest Coverage Ratio</t>
  </si>
  <si>
    <t xml:space="preserve">EBIT ÷ Interest Expense</t>
  </si>
  <si>
    <t xml:space="preserve">&gt; 3.0x</t>
  </si>
  <si>
    <t xml:space="preserve">Current Ratio</t>
  </si>
  <si>
    <t xml:space="preserve">Current Assets ÷ Current Liabilities</t>
  </si>
  <si>
    <t xml:space="preserve">&gt; 1.5x</t>
  </si>
  <si>
    <t xml:space="preserve">Quick Ratio</t>
  </si>
  <si>
    <t xml:space="preserve">(Current Assets - Inventory) ÷ Current Liabilities</t>
  </si>
  <si>
    <t xml:space="preserve">&gt; 1.0x</t>
  </si>
  <si>
    <t xml:space="preserve">Gross Margin</t>
  </si>
  <si>
    <t xml:space="preserve">Gross Profit ÷ Revenue</t>
  </si>
  <si>
    <t xml:space="preserve">&gt; 30%</t>
  </si>
  <si>
    <t xml:space="preserve">Net Profit Margin</t>
  </si>
  <si>
    <t xml:space="preserve">Net Income ÷ Revenue</t>
  </si>
  <si>
    <t xml:space="preserve">&gt; 5%</t>
  </si>
  <si>
    <t xml:space="preserve">Return on Assets (ROA)</t>
  </si>
  <si>
    <t xml:space="preserve">Net Income ÷ Total Assets</t>
  </si>
  <si>
    <t xml:space="preserve">CREDIT SCORECARD — MIDWEST PRECISION PARTS LLC</t>
  </si>
  <si>
    <t xml:space="preserve">Risk Factor</t>
  </si>
  <si>
    <t xml:space="preserve">Weight</t>
  </si>
  <si>
    <t xml:space="preserve">Score (1–10)</t>
  </si>
  <si>
    <t xml:space="preserve">Weighted Score</t>
  </si>
  <si>
    <t xml:space="preserve">Financial Strength (DSCR, Leverage)</t>
  </si>
  <si>
    <t xml:space="preserve">DSCR 1.18x — thin but above floor</t>
  </si>
  <si>
    <t xml:space="preserve">Industry &amp; Market Risk</t>
  </si>
  <si>
    <t xml:space="preserve">Auto parts — EV transition headwinds</t>
  </si>
  <si>
    <t xml:space="preserve">Management Quality</t>
  </si>
  <si>
    <t xml:space="preserve">Experienced team, limited succession plan</t>
  </si>
  <si>
    <t xml:space="preserve">Customer Concentration Risk</t>
  </si>
  <si>
    <t xml:space="preserve">64% revenue from 2 customers</t>
  </si>
  <si>
    <t xml:space="preserve">Collateral Quality</t>
  </si>
  <si>
    <t xml:space="preserve">LTV 105.3% — slightly uncovered</t>
  </si>
  <si>
    <t xml:space="preserve">Cash Flow Consistency</t>
  </si>
  <si>
    <t xml:space="preserve">Declining but positive operating CF</t>
  </si>
  <si>
    <t xml:space="preserve">Leverage &amp; Debt Structure</t>
  </si>
  <si>
    <t xml:space="preserve">Debt/EBITDA 4.2x — elevated</t>
  </si>
  <si>
    <t xml:space="preserve">TOTAL</t>
  </si>
  <si>
    <t xml:space="preserve">—</t>
  </si>
  <si>
    <t xml:space="preserve">RISK RATING SUMMARY</t>
  </si>
  <si>
    <t xml:space="preserve">Raw Weighted Score:</t>
  </si>
  <si>
    <t xml:space="preserve">Risk Rating (1–10):</t>
  </si>
  <si>
    <t xml:space="preserve">Risk Classification:</t>
  </si>
  <si>
    <t xml:space="preserve">Recommended Decision:</t>
  </si>
  <si>
    <t xml:space="preserve">LOAN STRUCTURE — MIDWEST PRECISION PARTS LLC</t>
  </si>
  <si>
    <t xml:space="preserve">LOAN TERMS</t>
  </si>
  <si>
    <t xml:space="preserve">Loan Amount</t>
  </si>
  <si>
    <t xml:space="preserve">Loan Type</t>
  </si>
  <si>
    <t xml:space="preserve">Term Loan</t>
  </si>
  <si>
    <t xml:space="preserve">Tenor</t>
  </si>
  <si>
    <t xml:space="preserve">7 Years (84 Months)</t>
  </si>
  <si>
    <t xml:space="preserve">Interest Rate</t>
  </si>
  <si>
    <t xml:space="preserve">Interest Rate Type</t>
  </si>
  <si>
    <t xml:space="preserve">Fixed</t>
  </si>
  <si>
    <t xml:space="preserve">Monthly Payment</t>
  </si>
  <si>
    <t xml:space="preserve">Annual Debt Service</t>
  </si>
  <si>
    <t xml:space="preserve">Origination Date</t>
  </si>
  <si>
    <t xml:space="preserve">2025-07-01</t>
  </si>
  <si>
    <t xml:space="preserve">Maturity Date</t>
  </si>
  <si>
    <t xml:space="preserve">2032-06-30</t>
  </si>
  <si>
    <t xml:space="preserve">Prepayment Penalty</t>
  </si>
  <si>
    <t xml:space="preserve">2% in Years 1–3  |  1% in Years 4–5  |  None thereafter</t>
  </si>
  <si>
    <t xml:space="preserve">Collateral</t>
  </si>
  <si>
    <t xml:space="preserve">Equipment + Real Estate (LTV 105.3%)</t>
  </si>
  <si>
    <t xml:space="preserve">FINANCIAL COVENANTS</t>
  </si>
  <si>
    <t xml:space="preserve">Covenant</t>
  </si>
  <si>
    <t xml:space="preserve">Threshold</t>
  </si>
  <si>
    <t xml:space="preserve">Testing Frequency</t>
  </si>
  <si>
    <t xml:space="preserve">Breach Consequence</t>
  </si>
  <si>
    <t xml:space="preserve">Debt Service Coverage Ratio</t>
  </si>
  <si>
    <t xml:space="preserve">≥ 1.10x</t>
  </si>
  <si>
    <t xml:space="preserve">Quarterly</t>
  </si>
  <si>
    <t xml:space="preserve">Loan review and potential acceleration</t>
  </si>
  <si>
    <t xml:space="preserve">≤ 5.0x</t>
  </si>
  <si>
    <t xml:space="preserve">Annually</t>
  </si>
  <si>
    <t xml:space="preserve">Borrower must cure within 90 days</t>
  </si>
  <si>
    <t xml:space="preserve">Customer Concentration</t>
  </si>
  <si>
    <t xml:space="preserve">No single customer &gt; 40% of revenue</t>
  </si>
  <si>
    <t xml:space="preserve">Mandatory notification and remediation plan required</t>
  </si>
  <si>
    <t xml:space="preserve">COLLATERAL ANALYSIS — MIDWEST PRECISION PARTS LLC</t>
  </si>
  <si>
    <t xml:space="preserve">ASSET COLLATERAL SCHEDULE</t>
  </si>
  <si>
    <t xml:space="preserve">Asset Type</t>
  </si>
  <si>
    <t xml:space="preserve">Book Value ($)</t>
  </si>
  <si>
    <t xml:space="preserve">Haircut (%)</t>
  </si>
  <si>
    <t xml:space="preserve">Collateral Value ($)</t>
  </si>
  <si>
    <t xml:space="preserve">Rationale for Haircut</t>
  </si>
  <si>
    <t xml:space="preserve">Equipment &amp; Machinery</t>
  </si>
  <si>
    <t xml:space="preserve">40% haircut — specialized manufacturing equipment, limited secondary market</t>
  </si>
  <si>
    <t xml:space="preserve">Real Estate (Plant)</t>
  </si>
  <si>
    <t xml:space="preserve">20% haircut — Ohio industrial real estate, reasonable liquidity</t>
  </si>
  <si>
    <t xml:space="preserve">50% haircut — auto parts inventory, limited buyers in liquidation</t>
  </si>
  <si>
    <t xml:space="preserve">KEY METRICS</t>
  </si>
  <si>
    <t xml:space="preserve">Total Collateral Value</t>
  </si>
  <si>
    <t xml:space="preserve">Loan-to-Value (LTV)</t>
  </si>
  <si>
    <t xml:space="preserve">Collateral Coverage Ratio</t>
  </si>
  <si>
    <t xml:space="preserve">Uncovered Amount</t>
  </si>
  <si>
    <t xml:space="preserve">Recovery in Default (Est.)</t>
  </si>
  <si>
    <t xml:space="preserve">Potential Loss in Default</t>
  </si>
  <si>
    <t xml:space="preserve">CONCLUSION</t>
  </si>
  <si>
    <t xml:space="preserve">LOAN AMORTIZATION SCHEDULE — MIDWEST PRECISION PARTS LLC</t>
  </si>
  <si>
    <t xml:space="preserve">INPUT PARAMETERS</t>
  </si>
  <si>
    <t xml:space="preserve">Loan Amount:</t>
  </si>
  <si>
    <t xml:space="preserve">Annual Rate:</t>
  </si>
  <si>
    <t xml:space="preserve">Monthly Rate:</t>
  </si>
  <si>
    <t xml:space="preserve">Term (Months):</t>
  </si>
  <si>
    <t xml:space="preserve">Monthly Payment:</t>
  </si>
  <si>
    <t xml:space="preserve">Month #</t>
  </si>
  <si>
    <t xml:space="preserve">Date</t>
  </si>
  <si>
    <t xml:space="preserve">Beginning Balance</t>
  </si>
  <si>
    <t xml:space="preserve">Principal</t>
  </si>
  <si>
    <t xml:space="preserve">Interest</t>
  </si>
  <si>
    <t xml:space="preserve">Ending Balance</t>
  </si>
  <si>
    <t xml:space="preserve">2025-08-01</t>
  </si>
  <si>
    <t xml:space="preserve">TOTALS</t>
  </si>
  <si>
    <t xml:space="preserve">SENSITIVITY ANALYSIS — DSCR UNDER STRESS SCENARIOS</t>
  </si>
  <si>
    <t xml:space="preserve">BASE CASE ASSUMPTIONS</t>
  </si>
  <si>
    <t xml:space="preserve">Base Revenue (FY2024):</t>
  </si>
  <si>
    <t xml:space="preserve">Base EBITDA Margin:</t>
  </si>
  <si>
    <t xml:space="preserve">D&amp;A:</t>
  </si>
  <si>
    <t xml:space="preserve">Annual Debt Service:</t>
  </si>
  <si>
    <t xml:space="preserve">Base DSCR (Actual):</t>
  </si>
  <si>
    <t xml:space="preserve">TWO-WAY DSCR SENSITIVITY TABLE  |  Revenue Decline vs EBITDA Margin</t>
  </si>
  <si>
    <t xml:space="preserve">Revenue Decline ↓  /  EBITDA Margin →</t>
  </si>
  <si>
    <t xml:space="preserve">10%</t>
  </si>
  <si>
    <t xml:space="preserve">12%</t>
  </si>
  <si>
    <t xml:space="preserve">14%</t>
  </si>
  <si>
    <t xml:space="preserve">16%</t>
  </si>
  <si>
    <t xml:space="preserve">18%</t>
  </si>
  <si>
    <t xml:space="preserve">0%  (Base Case)</t>
  </si>
  <si>
    <t xml:space="preserve">-5%</t>
  </si>
  <si>
    <t xml:space="preserve">-10%</t>
  </si>
  <si>
    <t xml:space="preserve">-15%</t>
  </si>
  <si>
    <t xml:space="preserve">-20%</t>
  </si>
  <si>
    <t xml:space="preserve">-25%</t>
  </si>
  <si>
    <t xml:space="preserve">⚠  Red cells indicate DSCR breach below 1.10x covenant floor — loan enters default review at -15% revenue decline</t>
  </si>
  <si>
    <t xml:space="preserve">COLOUR LEGEND</t>
  </si>
  <si>
    <t xml:space="preserve">≥ 1.25x</t>
  </si>
  <si>
    <t xml:space="preserve">DSCR Strong — Above Benchmark</t>
  </si>
  <si>
    <t xml:space="preserve">1.10x – 1.24x</t>
  </si>
  <si>
    <t xml:space="preserve">DSCR Acceptable — Within Watch Zone</t>
  </si>
  <si>
    <t xml:space="preserve">&lt; 1.10x</t>
  </si>
  <si>
    <t xml:space="preserve">DSCR Breach — Covenant Violation</t>
  </si>
  <si>
    <t xml:space="preserve">FIRST NATIONAL CREDIT BANK</t>
  </si>
  <si>
    <t xml:space="preserve">CREDIT COMMITTEE MEMORANDUM — CONFIDENTIAL</t>
  </si>
  <si>
    <t xml:space="preserve">Date: June 2025   |   Analyst: Srushti Mahant Pawar   |   Department: Commercial Banking</t>
  </si>
  <si>
    <t xml:space="preserve">BORROWER INFORMATION</t>
  </si>
  <si>
    <t xml:space="preserve">Borrower Name:</t>
  </si>
  <si>
    <t xml:space="preserve">Midwest Precision Parts LLC</t>
  </si>
  <si>
    <t xml:space="preserve">Industry:</t>
  </si>
  <si>
    <t xml:space="preserve">Auto Parts Manufacturing (NAICS 336390)</t>
  </si>
  <si>
    <t xml:space="preserve">Location:</t>
  </si>
  <si>
    <t xml:space="preserve">Dayton, Ohio</t>
  </si>
  <si>
    <t xml:space="preserve">Years in Business:</t>
  </si>
  <si>
    <t xml:space="preserve">22 Years (Founded 2003)</t>
  </si>
  <si>
    <t xml:space="preserve">Annual Revenue (FY2024):</t>
  </si>
  <si>
    <t xml:space="preserve">No. of Employees:</t>
  </si>
  <si>
    <t xml:space="preserve">~340</t>
  </si>
  <si>
    <t xml:space="preserve">Customer Concentration:</t>
  </si>
  <si>
    <t xml:space="preserve">64% revenue from 2 customers (Ford, Tier-1 Supplier)</t>
  </si>
  <si>
    <t xml:space="preserve">KEY FINANCIAL METRICS</t>
  </si>
  <si>
    <t xml:space="preserve">Metric</t>
  </si>
  <si>
    <t xml:space="preserve">FY2024 Actual</t>
  </si>
  <si>
    <t xml:space="preserve">Benchmark</t>
  </si>
  <si>
    <t xml:space="preserve">DSCR</t>
  </si>
  <si>
    <t xml:space="preserve">Interest Coverage</t>
  </si>
  <si>
    <t xml:space="preserve">Collateral Coverage</t>
  </si>
  <si>
    <t xml:space="preserve">Expected Loss</t>
  </si>
  <si>
    <t xml:space="preserve">&lt; $500K (Moderate)</t>
  </si>
  <si>
    <t xml:space="preserve">Moderate Risk</t>
  </si>
  <si>
    <t xml:space="preserve">CREDIT DECISION MATRIX — INTERNAL POLICY FRAMEWORK</t>
  </si>
  <si>
    <t xml:space="preserve">Risk Rating</t>
  </si>
  <si>
    <t xml:space="preserve">Risk Level</t>
  </si>
  <si>
    <t xml:space="preserve">Decision</t>
  </si>
  <si>
    <t xml:space="preserve">Policy Notes</t>
  </si>
  <si>
    <t xml:space="preserve">1 – 3</t>
  </si>
  <si>
    <t xml:space="preserve">Low Risk</t>
  </si>
  <si>
    <t xml:space="preserve">Approve</t>
  </si>
  <si>
    <t xml:space="preserve">Standard documentation, annual review</t>
  </si>
  <si>
    <t xml:space="preserve">4 – 6</t>
  </si>
  <si>
    <t xml:space="preserve">Conditional Approval</t>
  </si>
  <si>
    <t xml:space="preserve">Financial covenants required, quarterly monitoring</t>
  </si>
  <si>
    <t xml:space="preserve">7 – 8</t>
  </si>
  <si>
    <t xml:space="preserve">High Risk</t>
  </si>
  <si>
    <t xml:space="preserve">Escalate to Senior Committee</t>
  </si>
  <si>
    <t xml:space="preserve">Enhanced due diligence, collateral top-up may be required</t>
  </si>
  <si>
    <t xml:space="preserve">9 – 10</t>
  </si>
  <si>
    <t xml:space="preserve">Critical Risk</t>
  </si>
  <si>
    <t xml:space="preserve">Decline</t>
  </si>
  <si>
    <t xml:space="preserve">Application rejected, refer for restructuring</t>
  </si>
  <si>
    <t xml:space="preserve">→  Midwest Precision Parts LLC:  Risk Rating 6/10  →  CONDITIONAL APPROVAL  (Policy Band: 4–6)</t>
  </si>
  <si>
    <t xml:space="preserve">FINAL CREDIT DECISION</t>
  </si>
  <si>
    <t xml:space="preserve">Decision:</t>
  </si>
  <si>
    <t xml:space="preserve">CONDITIONAL APPROVAL</t>
  </si>
  <si>
    <t xml:space="preserve">Interest Rate:</t>
  </si>
  <si>
    <t xml:space="preserve">Tenor:</t>
  </si>
  <si>
    <t xml:space="preserve">Risk Rating:</t>
  </si>
  <si>
    <t xml:space="preserve">Covenant 1:</t>
  </si>
  <si>
    <t xml:space="preserve">DSCR ≥ 1.10x — tested quarterly</t>
  </si>
  <si>
    <t xml:space="preserve">Covenant 2:</t>
  </si>
  <si>
    <t xml:space="preserve">Debt/EBITDA ≤ 5.0x — tested annually</t>
  </si>
  <si>
    <t xml:space="preserve">Covenant 3:</t>
  </si>
  <si>
    <t xml:space="preserve">No single customer &gt; 40% of revenue — annual certification</t>
  </si>
  <si>
    <t xml:space="preserve">Analyst Note:</t>
  </si>
  <si>
    <t xml:space="preserve">Approval is conditional on compliance with all three covenants. DSCR of 1.18x provides limited buffer above the 1.10x floor. A 15% revenue decline triggers covenant breach. Quarterly monitoring required.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</si>
</sst>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#,##0"/>
    <numFmt numFmtId="166" formatCode="0.00\x"/>
    <numFmt numFmtId="167" formatCode="0.0%"/>
    <numFmt numFmtId="168" formatCode="0%"/>
    <numFmt numFmtId="169" formatCode="0.00"/>
    <numFmt numFmtId="170" formatCode="0"/>
    <numFmt numFmtId="171" formatCode="0.00%"/>
    <numFmt numFmtId="172" formatCode="\$#,##0.00"/>
    <numFmt numFmtId="173" formatCode="yyyy\-mm\-dd"/>
    <numFmt numFmtId="174" formatCode="0.0000%"/>
    <numFmt numFmtId="17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9"/>
      <name val="Calibri"/>
      <family val="0"/>
      <charset val="1"/>
    </font>
    <font>
      <b val="true"/>
      <i val="true"/>
      <sz val="10"/>
      <color rgb="FF9C0006"/>
      <name val="Calibri"/>
      <family val="0"/>
      <charset val="1"/>
    </font>
    <font>
      <b val="true"/>
      <sz val="10"/>
      <color rgb="FF276221"/>
      <name val="Calibri"/>
      <family val="0"/>
      <charset val="1"/>
    </font>
    <font>
      <b val="true"/>
      <sz val="10"/>
      <color rgb="FF9C57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6"/>
      <color rgb="FF276221"/>
      <name val="Calibri"/>
      <family val="0"/>
      <charset val="1"/>
    </font>
    <font>
      <sz val="10"/>
      <color rgb="FF9C5700"/>
      <name val="Calibri"/>
      <family val="0"/>
      <charset val="1"/>
    </font>
    <font>
      <sz val="9"/>
      <color rgb="FF595959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D6E4F0"/>
        <bgColor rgb="FFDDEBF7"/>
      </patternFill>
    </fill>
    <fill>
      <patternFill patternType="solid">
        <fgColor rgb="FFEBF3FB"/>
        <bgColor rgb="FFDDEBF7"/>
      </patternFill>
    </fill>
    <fill>
      <patternFill patternType="solid">
        <fgColor rgb="FF2E4057"/>
        <bgColor rgb="FF1F3864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6E4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alibri"/>
        <charset val="1"/>
        <family val="0"/>
        <color rgb="FF276221"/>
      </font>
      <fill>
        <patternFill>
          <bgColor rgb="FFC6EFCE"/>
        </patternFill>
      </fill>
    </dxf>
    <dxf>
      <font>
        <name val="Calibri"/>
        <charset val="1"/>
        <family val="0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color rgb="FF9C570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276221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1E7145"/>
      <rgbColor rgb="FFBFBFBF"/>
      <rgbColor rgb="FF808080"/>
      <rgbColor rgb="FF9999FF"/>
      <rgbColor rgb="FF7030A0"/>
      <rgbColor rgb="FFFFFFCC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E36C09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1F497D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  <col collapsed="false" customWidth="true" hidden="false" outlineLevel="0" max="5" min="5" style="1" width="4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true" outlineLevel="0" collapsed="false">
      <c r="A6" s="6" t="s">
        <v>8</v>
      </c>
      <c r="B6" s="7" t="n">
        <v>32500000</v>
      </c>
      <c r="C6" s="7" t="n">
        <v>29900000</v>
      </c>
      <c r="D6" s="7" t="n">
        <v>27500000</v>
      </c>
      <c r="E6" s="8" t="s">
        <v>9</v>
      </c>
    </row>
    <row r="7" customFormat="false" ht="15" hidden="false" customHeight="true" outlineLevel="0" collapsed="false">
      <c r="A7" s="9" t="s">
        <v>10</v>
      </c>
      <c r="B7" s="10" t="n">
        <v>21125000</v>
      </c>
      <c r="C7" s="10" t="n">
        <v>19435000</v>
      </c>
      <c r="D7" s="10" t="n">
        <v>18150000</v>
      </c>
      <c r="E7" s="8" t="s">
        <v>11</v>
      </c>
    </row>
    <row r="8" customFormat="false" ht="15" hidden="false" customHeight="true" outlineLevel="0" collapsed="false">
      <c r="A8" s="11" t="s">
        <v>12</v>
      </c>
      <c r="B8" s="12" t="n">
        <f aca="false">B6-B7</f>
        <v>11375000</v>
      </c>
      <c r="C8" s="12" t="n">
        <f aca="false">C6-C7</f>
        <v>10465000</v>
      </c>
      <c r="D8" s="12" t="n">
        <f aca="false">D6-D7</f>
        <v>9350000</v>
      </c>
      <c r="E8" s="8" t="s">
        <v>13</v>
      </c>
    </row>
    <row r="9" customFormat="false" ht="15" hidden="false" customHeight="true" outlineLevel="0" collapsed="false">
      <c r="A9" s="9" t="s">
        <v>14</v>
      </c>
      <c r="B9" s="10" t="n">
        <v>4875000</v>
      </c>
      <c r="C9" s="10" t="n">
        <v>4485000</v>
      </c>
      <c r="D9" s="10" t="n">
        <v>4125000</v>
      </c>
      <c r="E9" s="8" t="s">
        <v>15</v>
      </c>
    </row>
    <row r="10" customFormat="false" ht="15" hidden="false" customHeight="true" outlineLevel="0" collapsed="false">
      <c r="A10" s="6" t="s">
        <v>16</v>
      </c>
      <c r="B10" s="7" t="n">
        <v>1200000</v>
      </c>
      <c r="C10" s="7" t="n">
        <v>1200000</v>
      </c>
      <c r="D10" s="7" t="n">
        <v>1200000</v>
      </c>
      <c r="E10" s="8" t="s">
        <v>17</v>
      </c>
    </row>
    <row r="11" customFormat="false" ht="15" hidden="false" customHeight="true" outlineLevel="0" collapsed="false">
      <c r="A11" s="13" t="s">
        <v>18</v>
      </c>
      <c r="B11" s="14" t="n">
        <f aca="false">B8-B9-B10</f>
        <v>5300000</v>
      </c>
      <c r="C11" s="14" t="n">
        <f aca="false">C8-C9-C10</f>
        <v>4780000</v>
      </c>
      <c r="D11" s="14" t="n">
        <f aca="false">D8-D9-D10</f>
        <v>4025000</v>
      </c>
      <c r="E11" s="8" t="s">
        <v>19</v>
      </c>
    </row>
    <row r="12" customFormat="false" ht="15" hidden="false" customHeight="true" outlineLevel="0" collapsed="false">
      <c r="A12" s="6" t="s">
        <v>20</v>
      </c>
      <c r="B12" s="7" t="n">
        <v>1350000</v>
      </c>
      <c r="C12" s="7" t="n">
        <v>1400000</v>
      </c>
      <c r="D12" s="7" t="n">
        <v>1528000</v>
      </c>
      <c r="E12" s="8" t="s">
        <v>21</v>
      </c>
    </row>
    <row r="13" customFormat="false" ht="15" hidden="false" customHeight="true" outlineLevel="0" collapsed="false">
      <c r="A13" s="13" t="s">
        <v>22</v>
      </c>
      <c r="B13" s="14" t="n">
        <f aca="false">B11-B12</f>
        <v>3950000</v>
      </c>
      <c r="C13" s="14" t="n">
        <f aca="false">C11-C12</f>
        <v>3380000</v>
      </c>
      <c r="D13" s="14" t="n">
        <f aca="false">D11-D12</f>
        <v>2497000</v>
      </c>
      <c r="E13" s="8" t="s">
        <v>19</v>
      </c>
    </row>
    <row r="14" customFormat="false" ht="15" hidden="false" customHeight="true" outlineLevel="0" collapsed="false">
      <c r="A14" s="6" t="s">
        <v>23</v>
      </c>
      <c r="B14" s="7" t="n">
        <f aca="false">B13*0.25</f>
        <v>987500</v>
      </c>
      <c r="C14" s="7" t="n">
        <f aca="false">C13*0.25</f>
        <v>845000</v>
      </c>
      <c r="D14" s="7" t="n">
        <f aca="false">D13*0.25</f>
        <v>624250</v>
      </c>
      <c r="E14" s="8" t="s">
        <v>24</v>
      </c>
    </row>
    <row r="15" customFormat="false" ht="15" hidden="false" customHeight="true" outlineLevel="0" collapsed="false">
      <c r="A15" s="13" t="s">
        <v>25</v>
      </c>
      <c r="B15" s="14" t="n">
        <f aca="false">B13-B14</f>
        <v>2962500</v>
      </c>
      <c r="C15" s="14" t="n">
        <f aca="false">C13-C14</f>
        <v>2535000</v>
      </c>
      <c r="D15" s="14" t="n">
        <f aca="false">D13-D14</f>
        <v>1872750</v>
      </c>
      <c r="E15" s="8" t="s">
        <v>19</v>
      </c>
    </row>
    <row r="16" customFormat="false" ht="15" hidden="false" customHeight="true" outlineLevel="0" collapsed="false">
      <c r="A16" s="11" t="s">
        <v>26</v>
      </c>
      <c r="B16" s="12" t="n">
        <f aca="false">B11+B10</f>
        <v>6500000</v>
      </c>
      <c r="C16" s="12" t="n">
        <f aca="false">C11+C10</f>
        <v>5980000</v>
      </c>
      <c r="D16" s="12" t="n">
        <f aca="false">D11+D10</f>
        <v>5225000</v>
      </c>
      <c r="E16" s="8" t="s">
        <v>27</v>
      </c>
    </row>
    <row r="17" customFormat="false" ht="7.5" hidden="false" customHeight="true" outlineLevel="0" collapsed="false"/>
    <row r="18" customFormat="false" ht="18" hidden="false" customHeight="true" outlineLevel="0" collapsed="false">
      <c r="A18" s="4" t="s">
        <v>28</v>
      </c>
      <c r="B18" s="4"/>
      <c r="C18" s="4"/>
      <c r="D18" s="4"/>
      <c r="E18" s="4"/>
    </row>
    <row r="19" customFormat="false" ht="15" hidden="false" customHeight="true" outlineLevel="0" collapsed="false">
      <c r="A19" s="5" t="s">
        <v>3</v>
      </c>
      <c r="B19" s="5" t="s">
        <v>4</v>
      </c>
      <c r="C19" s="5" t="s">
        <v>5</v>
      </c>
      <c r="D19" s="5" t="s">
        <v>6</v>
      </c>
      <c r="E19" s="5" t="s">
        <v>7</v>
      </c>
    </row>
    <row r="20" customFormat="false" ht="15" hidden="false" customHeight="true" outlineLevel="0" collapsed="false">
      <c r="A20" s="15" t="s">
        <v>29</v>
      </c>
      <c r="B20" s="16"/>
      <c r="C20" s="16"/>
      <c r="D20" s="16"/>
      <c r="E20" s="16"/>
    </row>
    <row r="21" customFormat="false" ht="15" hidden="false" customHeight="true" outlineLevel="0" collapsed="false">
      <c r="A21" s="6" t="s">
        <v>30</v>
      </c>
      <c r="B21" s="7" t="n">
        <v>2100000</v>
      </c>
      <c r="C21" s="7" t="n">
        <v>1850000</v>
      </c>
      <c r="D21" s="7" t="n">
        <v>1620000</v>
      </c>
      <c r="E21" s="17"/>
    </row>
    <row r="22" customFormat="false" ht="15" hidden="false" customHeight="true" outlineLevel="0" collapsed="false">
      <c r="A22" s="9" t="s">
        <v>31</v>
      </c>
      <c r="B22" s="10" t="n">
        <v>4200000</v>
      </c>
      <c r="C22" s="10" t="n">
        <v>3900000</v>
      </c>
      <c r="D22" s="10" t="n">
        <v>3580000</v>
      </c>
      <c r="E22" s="17"/>
    </row>
    <row r="23" customFormat="false" ht="15" hidden="false" customHeight="true" outlineLevel="0" collapsed="false">
      <c r="A23" s="6" t="s">
        <v>32</v>
      </c>
      <c r="B23" s="7" t="n">
        <v>2000000</v>
      </c>
      <c r="C23" s="7" t="n">
        <v>2000000</v>
      </c>
      <c r="D23" s="7" t="n">
        <v>2000000</v>
      </c>
      <c r="E23" s="17"/>
    </row>
    <row r="24" customFormat="false" ht="15" hidden="false" customHeight="true" outlineLevel="0" collapsed="false">
      <c r="A24" s="13" t="s">
        <v>33</v>
      </c>
      <c r="B24" s="14" t="n">
        <f aca="false">B21+B22+B23</f>
        <v>8300000</v>
      </c>
      <c r="C24" s="14" t="n">
        <f aca="false">C21+C22+C23</f>
        <v>7750000</v>
      </c>
      <c r="D24" s="14" t="n">
        <f aca="false">D21+D22+D23</f>
        <v>7200000</v>
      </c>
      <c r="E24" s="17"/>
    </row>
    <row r="25" customFormat="false" ht="15" hidden="false" customHeight="true" outlineLevel="0" collapsed="false">
      <c r="A25" s="6" t="s">
        <v>34</v>
      </c>
      <c r="B25" s="7" t="n">
        <v>8500000</v>
      </c>
      <c r="C25" s="7" t="n">
        <v>7800000</v>
      </c>
      <c r="D25" s="7" t="n">
        <v>6000000</v>
      </c>
      <c r="E25" s="17"/>
    </row>
    <row r="26" customFormat="false" ht="15" hidden="false" customHeight="true" outlineLevel="0" collapsed="false">
      <c r="A26" s="9" t="s">
        <v>35</v>
      </c>
      <c r="B26" s="10" t="n">
        <v>500000</v>
      </c>
      <c r="C26" s="10" t="n">
        <v>450000</v>
      </c>
      <c r="D26" s="10" t="n">
        <v>400000</v>
      </c>
      <c r="E26" s="17"/>
    </row>
    <row r="27" customFormat="false" ht="15" hidden="false" customHeight="true" outlineLevel="0" collapsed="false">
      <c r="A27" s="9" t="s">
        <v>36</v>
      </c>
      <c r="B27" s="18" t="n">
        <v>1300000</v>
      </c>
      <c r="C27" s="18" t="n">
        <v>1850000</v>
      </c>
      <c r="D27" s="18" t="n">
        <v>3300000</v>
      </c>
      <c r="E27" s="17"/>
    </row>
    <row r="28" customFormat="false" ht="15" hidden="false" customHeight="true" outlineLevel="0" collapsed="false">
      <c r="A28" s="11" t="s">
        <v>37</v>
      </c>
      <c r="B28" s="12" t="n">
        <f aca="false">B24+B25+B26+B27</f>
        <v>18600000</v>
      </c>
      <c r="C28" s="12" t="n">
        <f aca="false">C24+C25+C26+C27</f>
        <v>17850000</v>
      </c>
      <c r="D28" s="12" t="n">
        <f aca="false">D24+D25+D26+D27</f>
        <v>16900000</v>
      </c>
      <c r="E28" s="17"/>
    </row>
    <row r="29" customFormat="false" ht="15" hidden="false" customHeight="true" outlineLevel="0" collapsed="false">
      <c r="A29" s="15" t="s">
        <v>38</v>
      </c>
      <c r="B29" s="16"/>
      <c r="C29" s="16"/>
      <c r="D29" s="16"/>
      <c r="E29" s="16"/>
    </row>
    <row r="30" customFormat="false" ht="15" hidden="false" customHeight="true" outlineLevel="0" collapsed="false">
      <c r="A30" s="6" t="s">
        <v>39</v>
      </c>
      <c r="B30" s="7" t="n">
        <v>1800000</v>
      </c>
      <c r="C30" s="7" t="n">
        <v>1750000</v>
      </c>
      <c r="D30" s="7" t="n">
        <v>1600000</v>
      </c>
      <c r="E30" s="17"/>
    </row>
    <row r="31" customFormat="false" ht="15" hidden="false" customHeight="true" outlineLevel="0" collapsed="false">
      <c r="A31" s="9" t="s">
        <v>40</v>
      </c>
      <c r="B31" s="10" t="n">
        <v>1500000</v>
      </c>
      <c r="C31" s="10" t="n">
        <v>1500000</v>
      </c>
      <c r="D31" s="10" t="n">
        <v>1500000</v>
      </c>
      <c r="E31" s="17"/>
    </row>
    <row r="32" customFormat="false" ht="15" hidden="false" customHeight="true" outlineLevel="0" collapsed="false">
      <c r="A32" s="11" t="s">
        <v>41</v>
      </c>
      <c r="B32" s="12" t="n">
        <f aca="false">B30+B31</f>
        <v>3300000</v>
      </c>
      <c r="C32" s="12" t="n">
        <f aca="false">C30+C31</f>
        <v>3250000</v>
      </c>
      <c r="D32" s="12" t="n">
        <f aca="false">D30+D31</f>
        <v>3100000</v>
      </c>
      <c r="E32" s="17"/>
    </row>
    <row r="33" customFormat="false" ht="15" hidden="false" customHeight="true" outlineLevel="0" collapsed="false">
      <c r="A33" s="6" t="s">
        <v>42</v>
      </c>
      <c r="B33" s="7" t="n">
        <v>9500000</v>
      </c>
      <c r="C33" s="7" t="n">
        <v>9000000</v>
      </c>
      <c r="D33" s="7" t="n">
        <v>8500000</v>
      </c>
      <c r="E33" s="17"/>
    </row>
    <row r="34" customFormat="false" ht="15" hidden="false" customHeight="true" outlineLevel="0" collapsed="false">
      <c r="A34" s="13" t="s">
        <v>43</v>
      </c>
      <c r="B34" s="14" t="n">
        <f aca="false">B32+B33</f>
        <v>12800000</v>
      </c>
      <c r="C34" s="14" t="n">
        <f aca="false">C32+C33</f>
        <v>12250000</v>
      </c>
      <c r="D34" s="14" t="n">
        <f aca="false">D32+D33</f>
        <v>11600000</v>
      </c>
      <c r="E34" s="17"/>
    </row>
    <row r="35" customFormat="false" ht="15" hidden="false" customHeight="true" outlineLevel="0" collapsed="false">
      <c r="A35" s="15" t="s">
        <v>44</v>
      </c>
      <c r="B35" s="16"/>
      <c r="C35" s="16"/>
      <c r="D35" s="16"/>
      <c r="E35" s="16"/>
    </row>
    <row r="36" customFormat="false" ht="15" hidden="false" customHeight="true" outlineLevel="0" collapsed="false">
      <c r="A36" s="6" t="s">
        <v>45</v>
      </c>
      <c r="B36" s="7" t="n">
        <v>3800000</v>
      </c>
      <c r="C36" s="7" t="n">
        <v>3600000</v>
      </c>
      <c r="D36" s="7" t="n">
        <v>3300000</v>
      </c>
      <c r="E36" s="17"/>
    </row>
    <row r="37" customFormat="false" ht="15" hidden="false" customHeight="true" outlineLevel="0" collapsed="false">
      <c r="A37" s="9" t="s">
        <v>46</v>
      </c>
      <c r="B37" s="10" t="n">
        <v>2000000</v>
      </c>
      <c r="C37" s="10" t="n">
        <v>2000000</v>
      </c>
      <c r="D37" s="10" t="n">
        <v>2000000</v>
      </c>
      <c r="E37" s="17"/>
    </row>
    <row r="38" customFormat="false" ht="15" hidden="false" customHeight="true" outlineLevel="0" collapsed="false">
      <c r="A38" s="11" t="s">
        <v>47</v>
      </c>
      <c r="B38" s="12" t="n">
        <f aca="false">B36+B37</f>
        <v>5800000</v>
      </c>
      <c r="C38" s="12" t="n">
        <f aca="false">C36+C37</f>
        <v>5600000</v>
      </c>
      <c r="D38" s="12" t="n">
        <f aca="false">D36+D37</f>
        <v>5300000</v>
      </c>
      <c r="E38" s="17"/>
    </row>
    <row r="39" customFormat="false" ht="7.5" hidden="false" customHeight="true" outlineLevel="0" collapsed="false">
      <c r="A39" s="13" t="s">
        <v>48</v>
      </c>
      <c r="B39" s="14" t="n">
        <f aca="false">B34+B38</f>
        <v>18600000</v>
      </c>
      <c r="C39" s="14" t="n">
        <f aca="false">C34+C38</f>
        <v>17850000</v>
      </c>
      <c r="D39" s="14" t="n">
        <f aca="false">D34+D38</f>
        <v>16900000</v>
      </c>
      <c r="E39" s="17"/>
    </row>
    <row r="40" customFormat="false" ht="18" hidden="false" customHeight="true" outlineLevel="0" collapsed="false">
      <c r="A40" s="19"/>
      <c r="B40" s="19"/>
      <c r="C40" s="19"/>
      <c r="D40" s="19"/>
      <c r="E40" s="19"/>
    </row>
    <row r="41" customFormat="false" ht="15" hidden="false" customHeight="true" outlineLevel="0" collapsed="false">
      <c r="A41" s="4" t="s">
        <v>49</v>
      </c>
      <c r="B41" s="20"/>
      <c r="C41" s="20"/>
      <c r="D41" s="20"/>
      <c r="E41" s="21"/>
    </row>
    <row r="42" customFormat="false" ht="15" hidden="false" customHeight="true" outlineLevel="0" collapsed="false">
      <c r="A42" s="22" t="s">
        <v>50</v>
      </c>
      <c r="B42" s="16"/>
      <c r="C42" s="16"/>
      <c r="D42" s="16"/>
      <c r="E42" s="17"/>
    </row>
    <row r="43" customFormat="false" ht="15" hidden="false" customHeight="true" outlineLevel="0" collapsed="false">
      <c r="A43" s="9" t="s">
        <v>25</v>
      </c>
      <c r="B43" s="10" t="n">
        <f aca="false">B15</f>
        <v>2962500</v>
      </c>
      <c r="C43" s="10" t="n">
        <f aca="false">C15</f>
        <v>2535000</v>
      </c>
      <c r="D43" s="10" t="n">
        <f aca="false">D15</f>
        <v>1872750</v>
      </c>
      <c r="E43" s="17"/>
    </row>
    <row r="44" customFormat="false" ht="15" hidden="false" customHeight="true" outlineLevel="0" collapsed="false">
      <c r="A44" s="9" t="s">
        <v>51</v>
      </c>
      <c r="B44" s="10" t="n">
        <f aca="false">B10</f>
        <v>1200000</v>
      </c>
      <c r="C44" s="10" t="n">
        <f aca="false">C10</f>
        <v>1200000</v>
      </c>
      <c r="D44" s="10" t="n">
        <f aca="false">D10</f>
        <v>1200000</v>
      </c>
      <c r="E44" s="17"/>
    </row>
    <row r="45" customFormat="false" ht="15" hidden="false" customHeight="true" outlineLevel="0" collapsed="false">
      <c r="A45" s="9" t="s">
        <v>52</v>
      </c>
      <c r="B45" s="10" t="n">
        <v>-300000</v>
      </c>
      <c r="C45" s="10" t="n">
        <v>-320000</v>
      </c>
      <c r="D45" s="10" t="n">
        <v>-350000</v>
      </c>
      <c r="E45" s="17"/>
    </row>
    <row r="46" customFormat="false" ht="15" hidden="false" customHeight="true" outlineLevel="0" collapsed="false">
      <c r="A46" s="9" t="s">
        <v>53</v>
      </c>
      <c r="B46" s="10" t="n">
        <v>0</v>
      </c>
      <c r="C46" s="10" t="n">
        <v>0</v>
      </c>
      <c r="D46" s="10" t="n">
        <v>0</v>
      </c>
      <c r="E46" s="17"/>
    </row>
    <row r="47" customFormat="false" ht="15" hidden="false" customHeight="true" outlineLevel="0" collapsed="false">
      <c r="A47" s="9" t="s">
        <v>54</v>
      </c>
      <c r="B47" s="10" t="n">
        <v>150000</v>
      </c>
      <c r="C47" s="10" t="n">
        <v>-50000</v>
      </c>
      <c r="D47" s="10" t="n">
        <v>-150000</v>
      </c>
      <c r="E47" s="17"/>
    </row>
    <row r="48" customFormat="false" ht="15" hidden="false" customHeight="true" outlineLevel="0" collapsed="false">
      <c r="A48" s="11" t="s">
        <v>55</v>
      </c>
      <c r="B48" s="12" t="n">
        <f aca="false">B42+B43+B44+B45+B46</f>
        <v>3862500</v>
      </c>
      <c r="C48" s="12" t="n">
        <f aca="false">C42+C43+C44+C45+C46</f>
        <v>3415000</v>
      </c>
      <c r="D48" s="12" t="n">
        <f aca="false">D42+D43+D44+D45+D46</f>
        <v>2722750</v>
      </c>
      <c r="E48" s="17"/>
    </row>
    <row r="49" customFormat="false" ht="15" hidden="false" customHeight="true" outlineLevel="0" collapsed="false">
      <c r="A49" s="22" t="s">
        <v>56</v>
      </c>
      <c r="B49" s="16"/>
      <c r="C49" s="16"/>
      <c r="D49" s="16"/>
      <c r="E49" s="17"/>
    </row>
    <row r="50" customFormat="false" ht="15" hidden="false" customHeight="true" outlineLevel="0" collapsed="false">
      <c r="A50" s="9" t="s">
        <v>57</v>
      </c>
      <c r="B50" s="10" t="n">
        <v>-800000</v>
      </c>
      <c r="C50" s="10" t="n">
        <v>-750000</v>
      </c>
      <c r="D50" s="10" t="n">
        <v>-700000</v>
      </c>
      <c r="E50" s="17"/>
    </row>
    <row r="51" customFormat="false" ht="15" hidden="false" customHeight="true" outlineLevel="0" collapsed="false">
      <c r="A51" s="11" t="s">
        <v>58</v>
      </c>
      <c r="B51" s="12" t="n">
        <f aca="false">B49</f>
        <v>0</v>
      </c>
      <c r="C51" s="12" t="n">
        <f aca="false">C49</f>
        <v>0</v>
      </c>
      <c r="D51" s="12" t="n">
        <f aca="false">D49</f>
        <v>0</v>
      </c>
      <c r="E51" s="17"/>
    </row>
    <row r="52" customFormat="false" ht="15" hidden="false" customHeight="true" outlineLevel="0" collapsed="false">
      <c r="A52" s="22" t="s">
        <v>59</v>
      </c>
      <c r="B52" s="16"/>
      <c r="C52" s="16"/>
      <c r="D52" s="16"/>
      <c r="E52" s="17"/>
    </row>
    <row r="53" customFormat="false" ht="15" hidden="false" customHeight="true" outlineLevel="0" collapsed="false">
      <c r="A53" s="9" t="s">
        <v>60</v>
      </c>
      <c r="B53" s="10" t="n">
        <v>-1000000</v>
      </c>
      <c r="C53" s="10" t="n">
        <v>-500000</v>
      </c>
      <c r="D53" s="10" t="n">
        <v>-500000</v>
      </c>
      <c r="E53" s="17"/>
    </row>
    <row r="54" customFormat="false" ht="15" hidden="false" customHeight="true" outlineLevel="0" collapsed="false">
      <c r="A54" s="11" t="s">
        <v>61</v>
      </c>
      <c r="B54" s="12" t="n">
        <f aca="false">B52</f>
        <v>0</v>
      </c>
      <c r="C54" s="12" t="n">
        <f aca="false">C52</f>
        <v>0</v>
      </c>
      <c r="D54" s="12" t="n">
        <f aca="false">D52</f>
        <v>0</v>
      </c>
      <c r="E54" s="17"/>
    </row>
    <row r="55" customFormat="false" ht="15" hidden="false" customHeight="true" outlineLevel="0" collapsed="false">
      <c r="A55" s="11" t="s">
        <v>62</v>
      </c>
      <c r="B55" s="12" t="n">
        <f aca="false">B47+B50+B53</f>
        <v>-1650000</v>
      </c>
      <c r="C55" s="12" t="n">
        <f aca="false">C47+C50+C53</f>
        <v>-1300000</v>
      </c>
      <c r="D55" s="12" t="n">
        <f aca="false">D47+D50+D53</f>
        <v>-1350000</v>
      </c>
      <c r="E55" s="17"/>
    </row>
  </sheetData>
  <mergeCells count="5">
    <mergeCell ref="A1:E1"/>
    <mergeCell ref="A2:E2"/>
    <mergeCell ref="A4:E4"/>
    <mergeCell ref="A18:E18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42"/>
    <col collapsed="false" customWidth="true" hidden="false" outlineLevel="0" max="5" min="3" style="1" width="13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24"/>
  </cols>
  <sheetData>
    <row r="1" customFormat="false" ht="17.25" hidden="false" customHeight="true" outlineLevel="0" collapsed="false">
      <c r="A1" s="2" t="s">
        <v>63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5" t="s">
        <v>65</v>
      </c>
      <c r="B4" s="5" t="s">
        <v>19</v>
      </c>
      <c r="C4" s="5" t="s">
        <v>4</v>
      </c>
      <c r="D4" s="5" t="s">
        <v>5</v>
      </c>
      <c r="E4" s="5" t="s">
        <v>6</v>
      </c>
      <c r="F4" s="5" t="s">
        <v>66</v>
      </c>
      <c r="G4" s="5" t="s">
        <v>67</v>
      </c>
      <c r="H4" s="5" t="s">
        <v>68</v>
      </c>
    </row>
    <row r="5" customFormat="false" ht="15" hidden="false" customHeight="true" outlineLevel="0" collapsed="false">
      <c r="A5" s="9" t="s">
        <v>69</v>
      </c>
      <c r="B5" s="8" t="s">
        <v>70</v>
      </c>
      <c r="C5" s="23" t="n">
        <f aca="false">Financial_Statements!B48/(Financial_Statements!B12+1000000)</f>
        <v>1.6436170212766</v>
      </c>
      <c r="D5" s="23" t="n">
        <f aca="false">Financial_Statements!C48/(Financial_Statements!C12+500000)</f>
        <v>1.79736842105263</v>
      </c>
      <c r="E5" s="23" t="n">
        <f aca="false">Financial_Statements!D48/(Financial_Statements!D12+500000)</f>
        <v>1.34257889546351</v>
      </c>
      <c r="F5" s="24" t="str">
        <f aca="false">IF(E5&gt;D5,"▲ Improving","▼ Declining")</f>
        <v>▼ Declining</v>
      </c>
      <c r="G5" s="25" t="s">
        <v>71</v>
      </c>
      <c r="H5" s="26" t="str">
        <f aca="false">IF(E5&gt;=1.25,"Strong",IF(E5&gt;=1.1,"Acceptable — Watch","Below Threshold"))</f>
        <v>Strong</v>
      </c>
    </row>
    <row r="6" customFormat="false" ht="15" hidden="false" customHeight="true" outlineLevel="0" collapsed="false">
      <c r="A6" s="6" t="s">
        <v>72</v>
      </c>
      <c r="B6" s="27" t="s">
        <v>73</v>
      </c>
      <c r="C6" s="28" t="n">
        <f aca="false">(Financial_Statements!B33+Financial_Statements!B31)/Financial_Statements!B16</f>
        <v>1.69230769230769</v>
      </c>
      <c r="D6" s="28" t="n">
        <f aca="false">(Financial_Statements!C33+Financial_Statements!C31)/Financial_Statements!C16</f>
        <v>1.75585284280936</v>
      </c>
      <c r="E6" s="28" t="n">
        <f aca="false">(Financial_Statements!D33+Financial_Statements!D31)/Financial_Statements!D16</f>
        <v>1.91387559808612</v>
      </c>
      <c r="F6" s="29" t="str">
        <f aca="false">IF(E6&lt;D6,"▲ Improving","▼ Worsening")</f>
        <v>▼ Worsening</v>
      </c>
      <c r="G6" s="30" t="s">
        <v>74</v>
      </c>
      <c r="H6" s="31" t="str">
        <f aca="false">IF(E6&lt;=4,"Strong",IF(E6&lt;=5,"Elevated — Monitor","High Leverage"))</f>
        <v>Strong</v>
      </c>
    </row>
    <row r="7" customFormat="false" ht="15" hidden="false" customHeight="true" outlineLevel="0" collapsed="false">
      <c r="A7" s="9" t="s">
        <v>75</v>
      </c>
      <c r="B7" s="8" t="s">
        <v>76</v>
      </c>
      <c r="C7" s="23" t="n">
        <f aca="false">Financial_Statements!B11/Financial_Statements!B12</f>
        <v>3.92592592592593</v>
      </c>
      <c r="D7" s="23" t="n">
        <f aca="false">Financial_Statements!C11/Financial_Statements!C12</f>
        <v>3.41428571428571</v>
      </c>
      <c r="E7" s="23" t="n">
        <f aca="false">Financial_Statements!D11/Financial_Statements!D12</f>
        <v>2.63416230366492</v>
      </c>
      <c r="F7" s="24" t="str">
        <f aca="false">IF(E7&gt;D7,"▲ Improving","▼ Declining")</f>
        <v>▼ Declining</v>
      </c>
      <c r="G7" s="25" t="s">
        <v>77</v>
      </c>
      <c r="H7" s="26" t="str">
        <f aca="false">IF(E7&gt;=3,"Adequate",IF(E7&gt;=2,"Marginal","Insufficient"))</f>
        <v>Marginal</v>
      </c>
    </row>
    <row r="8" customFormat="false" ht="15" hidden="false" customHeight="true" outlineLevel="0" collapsed="false">
      <c r="A8" s="6" t="s">
        <v>78</v>
      </c>
      <c r="B8" s="27" t="s">
        <v>79</v>
      </c>
      <c r="C8" s="28" t="n">
        <f aca="false">Financial_Statements!B24/Financial_Statements!B32</f>
        <v>2.51515151515152</v>
      </c>
      <c r="D8" s="28" t="n">
        <f aca="false">Financial_Statements!C24/Financial_Statements!C32</f>
        <v>2.38461538461538</v>
      </c>
      <c r="E8" s="28" t="n">
        <f aca="false">Financial_Statements!D24/Financial_Statements!D32</f>
        <v>2.32258064516129</v>
      </c>
      <c r="F8" s="29" t="str">
        <f aca="false">IF(E8&gt;D8,"▲ Improving","▼ Declining")</f>
        <v>▼ Declining</v>
      </c>
      <c r="G8" s="30" t="s">
        <v>80</v>
      </c>
      <c r="H8" s="31" t="str">
        <f aca="false">IF(E8&gt;=1.5,"Strong",IF(E8&gt;=1.2,"Adequate","Tight"))</f>
        <v>Strong</v>
      </c>
    </row>
    <row r="9" customFormat="false" ht="15" hidden="false" customHeight="true" outlineLevel="0" collapsed="false">
      <c r="A9" s="9" t="s">
        <v>81</v>
      </c>
      <c r="B9" s="8" t="s">
        <v>82</v>
      </c>
      <c r="C9" s="23" t="n">
        <f aca="false">(Financial_Statements!B24-Financial_Statements!B23)/Financial_Statements!B32</f>
        <v>1.90909090909091</v>
      </c>
      <c r="D9" s="23" t="n">
        <f aca="false">(Financial_Statements!C24-Financial_Statements!C23)/Financial_Statements!C32</f>
        <v>1.76923076923077</v>
      </c>
      <c r="E9" s="23" t="n">
        <f aca="false">(Financial_Statements!D24-Financial_Statements!D23)/Financial_Statements!D32</f>
        <v>1.67741935483871</v>
      </c>
      <c r="F9" s="24" t="str">
        <f aca="false">IF(E9&gt;D9,"▲ Improving","▼ Declining")</f>
        <v>▼ Declining</v>
      </c>
      <c r="G9" s="25" t="s">
        <v>83</v>
      </c>
      <c r="H9" s="26" t="str">
        <f aca="false">IF(E9&gt;=1,"Strong",IF(E9&gt;=0.8,"Adequate","Tight"))</f>
        <v>Strong</v>
      </c>
    </row>
    <row r="10" customFormat="false" ht="15" hidden="false" customHeight="true" outlineLevel="0" collapsed="false">
      <c r="A10" s="6" t="s">
        <v>84</v>
      </c>
      <c r="B10" s="27" t="s">
        <v>85</v>
      </c>
      <c r="C10" s="32" t="n">
        <f aca="false">Financial_Statements!B8/Financial_Statements!B6</f>
        <v>0.35</v>
      </c>
      <c r="D10" s="32" t="n">
        <f aca="false">Financial_Statements!C8/Financial_Statements!C6</f>
        <v>0.35</v>
      </c>
      <c r="E10" s="32" t="n">
        <f aca="false">Financial_Statements!D8/Financial_Statements!D6</f>
        <v>0.34</v>
      </c>
      <c r="F10" s="29" t="str">
        <f aca="false">IF(E10&gt;D10,"▲ Improving","▼ Declining")</f>
        <v>▼ Declining</v>
      </c>
      <c r="G10" s="30" t="s">
        <v>86</v>
      </c>
      <c r="H10" s="31" t="str">
        <f aca="false">IF(E10&gt;=0.3,"Strong",IF(E10&gt;=0.25,"Adequate","Thin"))</f>
        <v>Strong</v>
      </c>
    </row>
    <row r="11" customFormat="false" ht="15" hidden="false" customHeight="true" outlineLevel="0" collapsed="false">
      <c r="A11" s="9" t="s">
        <v>87</v>
      </c>
      <c r="B11" s="8" t="s">
        <v>88</v>
      </c>
      <c r="C11" s="33" t="n">
        <f aca="false">Financial_Statements!B15/Financial_Statements!B6</f>
        <v>0.0911538461538462</v>
      </c>
      <c r="D11" s="33" t="n">
        <f aca="false">Financial_Statements!C15/Financial_Statements!C6</f>
        <v>0.0847826086956522</v>
      </c>
      <c r="E11" s="33" t="n">
        <f aca="false">Financial_Statements!D15/Financial_Statements!D6</f>
        <v>0.0681</v>
      </c>
      <c r="F11" s="24" t="str">
        <f aca="false">IF(E11&gt;D11,"▲ Improving","▼ Declining")</f>
        <v>▼ Declining</v>
      </c>
      <c r="G11" s="25" t="s">
        <v>89</v>
      </c>
      <c r="H11" s="26" t="str">
        <f aca="false">IF(E11&gt;=0.05,"Strong",IF(E11&gt;=0.03,"Adequate","Thin"))</f>
        <v>Strong</v>
      </c>
    </row>
    <row r="12" customFormat="false" ht="15" hidden="false" customHeight="true" outlineLevel="0" collapsed="false">
      <c r="A12" s="6" t="s">
        <v>90</v>
      </c>
      <c r="B12" s="27" t="s">
        <v>91</v>
      </c>
      <c r="C12" s="32" t="n">
        <f aca="false">Financial_Statements!B15/Financial_Statements!B28</f>
        <v>0.159274193548387</v>
      </c>
      <c r="D12" s="32" t="n">
        <f aca="false">Financial_Statements!C15/Financial_Statements!C28</f>
        <v>0.142016806722689</v>
      </c>
      <c r="E12" s="32" t="n">
        <f aca="false">Financial_Statements!D15/Financial_Statements!D28</f>
        <v>0.110813609467456</v>
      </c>
      <c r="F12" s="29" t="str">
        <f aca="false">IF(E12&gt;D12,"▲ Improving","▼ Declining")</f>
        <v>▼ Declining</v>
      </c>
      <c r="G12" s="30" t="s">
        <v>89</v>
      </c>
      <c r="H12" s="31" t="str">
        <f aca="false">IF(E12&gt;=0.05,"Strong",IF(E12&gt;=0.02,"Adequate","Low"))</f>
        <v>Strong</v>
      </c>
    </row>
  </sheetData>
  <mergeCells count="2">
    <mergeCell ref="A1:H1"/>
    <mergeCell ref="A2:H2"/>
  </mergeCells>
  <conditionalFormatting sqref="C5:E5">
    <cfRule type="cellIs" priority="2" operator="greaterThanOrEqual" aboveAverage="0" equalAverage="0" bottom="0" percent="0" rank="0" text="" dxfId="0">
      <formula>1.25</formula>
    </cfRule>
    <cfRule type="cellIs" priority="3" operator="lessThan" aboveAverage="0" equalAverage="0" bottom="0" percent="0" rank="0" text="" dxfId="1">
      <formula>1.1</formula>
    </cfRule>
    <cfRule type="cellIs" priority="4" operator="between" aboveAverage="0" equalAverage="0" bottom="0" percent="0" rank="0" text="" dxfId="2">
      <formula>1.1</formula>
      <formula>1.2499</formula>
    </cfRule>
  </conditionalFormatting>
  <conditionalFormatting sqref="C6:E6">
    <cfRule type="cellIs" priority="5" operator="lessThanOrEqual" aboveAverage="0" equalAverage="0" bottom="0" percent="0" rank="0" text="" dxfId="0">
      <formula>4</formula>
    </cfRule>
    <cfRule type="cellIs" priority="6" operator="greaterThan" aboveAverage="0" equalAverage="0" bottom="0" percent="0" rank="0" text="" dxfId="1">
      <formula>5</formula>
    </cfRule>
    <cfRule type="cellIs" priority="7" operator="between" aboveAverage="0" equalAverage="0" bottom="0" percent="0" rank="0" text="" dxfId="2">
      <formula>4</formula>
      <formula>5</formula>
    </cfRule>
  </conditionalFormatting>
  <conditionalFormatting sqref="C7:E7">
    <cfRule type="cellIs" priority="8" operator="greaterThanOrEqual" aboveAverage="0" equalAverage="0" bottom="0" percent="0" rank="0" text="" dxfId="0">
      <formula>3</formula>
    </cfRule>
    <cfRule type="cellIs" priority="9" operator="lessThan" aboveAverage="0" equalAverage="0" bottom="0" percent="0" rank="0" text="" dxfId="1">
      <formula>2</formula>
    </cfRule>
    <cfRule type="cellIs" priority="10" operator="between" aboveAverage="0" equalAverage="0" bottom="0" percent="0" rank="0" text="" dxfId="2">
      <formula>2</formula>
      <formula>2.9999</formula>
    </cfRule>
  </conditionalFormatting>
  <conditionalFormatting sqref="C8:E8">
    <cfRule type="cellIs" priority="11" operator="greaterThanOrEqual" aboveAverage="0" equalAverage="0" bottom="0" percent="0" rank="0" text="" dxfId="0">
      <formula>1.5</formula>
    </cfRule>
    <cfRule type="cellIs" priority="12" operator="lessThan" aboveAverage="0" equalAverage="0" bottom="0" percent="0" rank="0" text="" dxfId="1">
      <formula>1.2</formula>
    </cfRule>
    <cfRule type="cellIs" priority="13" operator="between" aboveAverage="0" equalAverage="0" bottom="0" percent="0" rank="0" text="" dxfId="2">
      <formula>1.2</formula>
      <formula>1.4999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145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45"/>
  </cols>
  <sheetData>
    <row r="1" customFormat="false" ht="17.25" hidden="false" customHeight="true" outlineLevel="0" collapsed="false">
      <c r="A1" s="2" t="s">
        <v>92</v>
      </c>
      <c r="B1" s="2"/>
      <c r="C1" s="2"/>
      <c r="D1" s="2"/>
      <c r="E1" s="2"/>
    </row>
    <row r="3" customFormat="false" ht="15" hidden="false" customHeight="true" outlineLevel="0" collapsed="false">
      <c r="A3" s="5" t="s">
        <v>93</v>
      </c>
      <c r="B3" s="5" t="s">
        <v>94</v>
      </c>
      <c r="C3" s="5" t="s">
        <v>95</v>
      </c>
      <c r="D3" s="5" t="s">
        <v>96</v>
      </c>
      <c r="E3" s="5" t="s">
        <v>7</v>
      </c>
    </row>
    <row r="4" customFormat="false" ht="15" hidden="false" customHeight="true" outlineLevel="0" collapsed="false">
      <c r="A4" s="6" t="s">
        <v>97</v>
      </c>
      <c r="B4" s="34" t="n">
        <v>0.25</v>
      </c>
      <c r="C4" s="35" t="n">
        <v>6</v>
      </c>
      <c r="D4" s="36" t="n">
        <f aca="false">B4*C4</f>
        <v>1.5</v>
      </c>
      <c r="E4" s="27" t="s">
        <v>98</v>
      </c>
    </row>
    <row r="5" customFormat="false" ht="15" hidden="false" customHeight="true" outlineLevel="0" collapsed="false">
      <c r="A5" s="9" t="s">
        <v>99</v>
      </c>
      <c r="B5" s="37" t="n">
        <v>0.2</v>
      </c>
      <c r="C5" s="38" t="n">
        <v>7</v>
      </c>
      <c r="D5" s="39" t="n">
        <f aca="false">B5*C5</f>
        <v>1.4</v>
      </c>
      <c r="E5" s="8" t="s">
        <v>100</v>
      </c>
    </row>
    <row r="6" customFormat="false" ht="15" hidden="false" customHeight="true" outlineLevel="0" collapsed="false">
      <c r="A6" s="6" t="s">
        <v>101</v>
      </c>
      <c r="B6" s="34" t="n">
        <v>0.15</v>
      </c>
      <c r="C6" s="35" t="n">
        <v>5</v>
      </c>
      <c r="D6" s="36" t="n">
        <f aca="false">B6*C6</f>
        <v>0.75</v>
      </c>
      <c r="E6" s="27" t="s">
        <v>102</v>
      </c>
    </row>
    <row r="7" customFormat="false" ht="15" hidden="false" customHeight="true" outlineLevel="0" collapsed="false">
      <c r="A7" s="9" t="s">
        <v>103</v>
      </c>
      <c r="B7" s="37" t="n">
        <v>0.15</v>
      </c>
      <c r="C7" s="38" t="n">
        <v>7</v>
      </c>
      <c r="D7" s="39" t="n">
        <f aca="false">B7*C7</f>
        <v>1.05</v>
      </c>
      <c r="E7" s="8" t="s">
        <v>104</v>
      </c>
    </row>
    <row r="8" customFormat="false" ht="15" hidden="false" customHeight="true" outlineLevel="0" collapsed="false">
      <c r="A8" s="6" t="s">
        <v>105</v>
      </c>
      <c r="B8" s="34" t="n">
        <v>0.1</v>
      </c>
      <c r="C8" s="35" t="n">
        <v>5</v>
      </c>
      <c r="D8" s="36" t="n">
        <f aca="false">B8*C8</f>
        <v>0.5</v>
      </c>
      <c r="E8" s="27" t="s">
        <v>106</v>
      </c>
    </row>
    <row r="9" customFormat="false" ht="15" hidden="false" customHeight="true" outlineLevel="0" collapsed="false">
      <c r="A9" s="9" t="s">
        <v>107</v>
      </c>
      <c r="B9" s="37" t="n">
        <v>0.1</v>
      </c>
      <c r="C9" s="38" t="n">
        <v>5</v>
      </c>
      <c r="D9" s="39" t="n">
        <f aca="false">B9*C9</f>
        <v>0.5</v>
      </c>
      <c r="E9" s="8" t="s">
        <v>108</v>
      </c>
    </row>
    <row r="10" customFormat="false" ht="15" hidden="false" customHeight="true" outlineLevel="0" collapsed="false">
      <c r="A10" s="6" t="s">
        <v>109</v>
      </c>
      <c r="B10" s="34" t="n">
        <v>0.05</v>
      </c>
      <c r="C10" s="35" t="n">
        <v>6</v>
      </c>
      <c r="D10" s="36" t="n">
        <f aca="false">B10*C10</f>
        <v>0.3</v>
      </c>
      <c r="E10" s="27" t="s">
        <v>110</v>
      </c>
    </row>
    <row r="11" customFormat="false" ht="15" hidden="false" customHeight="true" outlineLevel="0" collapsed="false">
      <c r="A11" s="40" t="s">
        <v>111</v>
      </c>
      <c r="B11" s="41" t="n">
        <f aca="false">SUM(B4:B10)</f>
        <v>1</v>
      </c>
      <c r="C11" s="5" t="s">
        <v>112</v>
      </c>
      <c r="D11" s="42" t="n">
        <f aca="false">SUM(D4:D10)</f>
        <v>6</v>
      </c>
      <c r="E11" s="40"/>
    </row>
    <row r="12" customFormat="false" ht="7.5" hidden="false" customHeight="true" outlineLevel="0" collapsed="false"/>
    <row r="13" customFormat="false" ht="15" hidden="false" customHeight="true" outlineLevel="0" collapsed="false">
      <c r="A13" s="4" t="s">
        <v>113</v>
      </c>
      <c r="B13" s="4"/>
      <c r="C13" s="4"/>
      <c r="D13" s="4"/>
      <c r="E13" s="4"/>
    </row>
    <row r="14" customFormat="false" ht="15" hidden="false" customHeight="true" outlineLevel="0" collapsed="false"/>
    <row r="15" customFormat="false" ht="15" hidden="false" customHeight="true" outlineLevel="0" collapsed="false">
      <c r="A15" s="13" t="s">
        <v>114</v>
      </c>
      <c r="B15" s="43" t="n">
        <f aca="false">D11</f>
        <v>6</v>
      </c>
      <c r="C15" s="17"/>
      <c r="D15" s="17"/>
      <c r="E15" s="17"/>
    </row>
    <row r="16" customFormat="false" ht="15" hidden="false" customHeight="true" outlineLevel="0" collapsed="false">
      <c r="A16" s="13" t="s">
        <v>115</v>
      </c>
      <c r="B16" s="44" t="n">
        <f aca="false">ROUND(D11,0)</f>
        <v>6</v>
      </c>
      <c r="C16" s="17"/>
      <c r="D16" s="17"/>
      <c r="E16" s="17"/>
    </row>
    <row r="17" customFormat="false" ht="15" hidden="false" customHeight="true" outlineLevel="0" collapsed="false">
      <c r="A17" s="13" t="s">
        <v>116</v>
      </c>
      <c r="B17" s="45" t="str">
        <f aca="false">IF(B16&lt;=3,"Low Risk",IF(B16&lt;=6,"Moderate Risk",IF(B16&lt;=8,"High Risk","Critical Risk")))</f>
        <v>Moderate Risk</v>
      </c>
      <c r="C17" s="17"/>
      <c r="D17" s="17"/>
      <c r="E17" s="17"/>
    </row>
    <row r="18" customFormat="false" ht="15" hidden="false" customHeight="true" outlineLevel="0" collapsed="false">
      <c r="A18" s="13" t="s">
        <v>117</v>
      </c>
      <c r="B18" s="45" t="str">
        <f aca="false">IF(B16&lt;=3,"Approve",IF(B16&lt;=6,"Conditional Approval",IF(B16&lt;=8,"Escalate","Decline")))</f>
        <v>Conditional Approval</v>
      </c>
      <c r="C18" s="17"/>
      <c r="D18" s="17"/>
      <c r="E18" s="17"/>
    </row>
  </sheetData>
  <mergeCells count="2">
    <mergeCell ref="A1:E1"/>
    <mergeCell ref="A13:E13"/>
  </mergeCells>
  <conditionalFormatting sqref="B17">
    <cfRule type="expression" priority="2" aboveAverage="0" equalAverage="0" bottom="0" percent="0" rank="0" text="" dxfId="3">
      <formula>B17="Low Risk"</formula>
    </cfRule>
    <cfRule type="expression" priority="3" aboveAverage="0" equalAverage="0" bottom="0" percent="0" rank="0" text="" dxfId="4">
      <formula>B17="Moderate Risk"</formula>
    </cfRule>
    <cfRule type="expression" priority="4" aboveAverage="0" equalAverage="0" bottom="0" percent="0" rank="0" text="" dxfId="5">
      <formula>OR(B17="High Risk",B17="Critical Risk")</formula>
    </cfRule>
  </conditionalFormatting>
  <conditionalFormatting sqref="B18">
    <cfRule type="expression" priority="5" aboveAverage="0" equalAverage="0" bottom="0" percent="0" rank="0" text="" dxfId="3">
      <formula>B18="Approve"</formula>
    </cfRule>
    <cfRule type="expression" priority="6" aboveAverage="0" equalAverage="0" bottom="0" percent="0" rank="0" text="" dxfId="4">
      <formula>B18="Conditional Approval"</formula>
    </cfRule>
    <cfRule type="expression" priority="7" aboveAverage="0" equalAverage="0" bottom="0" percent="0" rank="0" text="" dxfId="5">
      <formula>OR(B18="Escalate",B18="Decline")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145"/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38"/>
  </cols>
  <sheetData>
    <row r="1" customFormat="false" ht="17.25" hidden="false" customHeight="true" outlineLevel="0" collapsed="false">
      <c r="A1" s="2" t="s">
        <v>118</v>
      </c>
      <c r="B1" s="2"/>
      <c r="C1" s="2"/>
      <c r="D1" s="2"/>
    </row>
    <row r="2" customFormat="false" ht="7.5" hidden="false" customHeight="true" outlineLevel="0" collapsed="false"/>
    <row r="3" customFormat="false" ht="15" hidden="false" customHeight="true" outlineLevel="0" collapsed="false">
      <c r="A3" s="46" t="s">
        <v>119</v>
      </c>
      <c r="B3" s="46"/>
      <c r="C3" s="46"/>
      <c r="D3" s="46"/>
    </row>
    <row r="4" customFormat="false" ht="15" hidden="false" customHeight="true" outlineLevel="0" collapsed="false">
      <c r="A4" s="11" t="s">
        <v>120</v>
      </c>
      <c r="B4" s="47" t="n">
        <v>8000000</v>
      </c>
      <c r="C4" s="17"/>
      <c r="D4" s="17"/>
    </row>
    <row r="5" customFormat="false" ht="15" hidden="false" customHeight="true" outlineLevel="0" collapsed="false">
      <c r="A5" s="13" t="s">
        <v>121</v>
      </c>
      <c r="B5" s="48" t="s">
        <v>122</v>
      </c>
      <c r="C5" s="17"/>
      <c r="D5" s="17"/>
    </row>
    <row r="6" customFormat="false" ht="15" hidden="false" customHeight="true" outlineLevel="0" collapsed="false">
      <c r="A6" s="11" t="s">
        <v>123</v>
      </c>
      <c r="B6" s="49" t="s">
        <v>124</v>
      </c>
      <c r="C6" s="17"/>
      <c r="D6" s="17"/>
    </row>
    <row r="7" customFormat="false" ht="15" hidden="false" customHeight="true" outlineLevel="0" collapsed="false">
      <c r="A7" s="13" t="s">
        <v>125</v>
      </c>
      <c r="B7" s="50" t="n">
        <v>0.0675</v>
      </c>
      <c r="C7" s="17"/>
      <c r="D7" s="17"/>
    </row>
    <row r="8" customFormat="false" ht="15" hidden="false" customHeight="true" outlineLevel="0" collapsed="false">
      <c r="A8" s="11" t="s">
        <v>126</v>
      </c>
      <c r="B8" s="49" t="s">
        <v>127</v>
      </c>
      <c r="C8" s="17"/>
      <c r="D8" s="17"/>
    </row>
    <row r="9" customFormat="false" ht="15" hidden="false" customHeight="true" outlineLevel="0" collapsed="false">
      <c r="A9" s="13" t="s">
        <v>128</v>
      </c>
      <c r="B9" s="51" t="n">
        <f aca="false">PMT(B7/12,84,-B4)</f>
        <v>119766.108776316</v>
      </c>
      <c r="C9" s="17"/>
      <c r="D9" s="17"/>
    </row>
    <row r="10" customFormat="false" ht="15" hidden="false" customHeight="true" outlineLevel="0" collapsed="false">
      <c r="A10" s="11" t="s">
        <v>129</v>
      </c>
      <c r="B10" s="52" t="n">
        <f aca="false">B9*12</f>
        <v>1437193.3053158</v>
      </c>
      <c r="C10" s="17"/>
      <c r="D10" s="17"/>
    </row>
    <row r="11" customFormat="false" ht="15" hidden="false" customHeight="true" outlineLevel="0" collapsed="false">
      <c r="A11" s="13" t="s">
        <v>130</v>
      </c>
      <c r="B11" s="53" t="s">
        <v>131</v>
      </c>
      <c r="C11" s="17"/>
      <c r="D11" s="17"/>
    </row>
    <row r="12" customFormat="false" ht="15" hidden="false" customHeight="true" outlineLevel="0" collapsed="false">
      <c r="A12" s="11" t="s">
        <v>132</v>
      </c>
      <c r="B12" s="54" t="s">
        <v>133</v>
      </c>
      <c r="C12" s="17"/>
      <c r="D12" s="17"/>
    </row>
    <row r="13" customFormat="false" ht="23.25" hidden="false" customHeight="true" outlineLevel="0" collapsed="false">
      <c r="A13" s="13" t="s">
        <v>134</v>
      </c>
      <c r="B13" s="48" t="s">
        <v>135</v>
      </c>
      <c r="C13" s="17"/>
      <c r="D13" s="17"/>
    </row>
    <row r="14" customFormat="false" ht="15" hidden="false" customHeight="true" outlineLevel="0" collapsed="false">
      <c r="A14" s="11" t="s">
        <v>136</v>
      </c>
      <c r="B14" s="49" t="s">
        <v>137</v>
      </c>
      <c r="C14" s="17"/>
      <c r="D14" s="17"/>
    </row>
    <row r="15" customFormat="false" ht="7.5" hidden="false" customHeight="true" outlineLevel="0" collapsed="false"/>
    <row r="16" customFormat="false" ht="15" hidden="false" customHeight="true" outlineLevel="0" collapsed="false">
      <c r="A16" s="4" t="s">
        <v>138</v>
      </c>
      <c r="B16" s="4"/>
      <c r="C16" s="4"/>
      <c r="D16" s="4"/>
    </row>
    <row r="17" customFormat="false" ht="15" hidden="false" customHeight="true" outlineLevel="0" collapsed="false">
      <c r="A17" s="5" t="s">
        <v>139</v>
      </c>
      <c r="B17" s="5" t="s">
        <v>140</v>
      </c>
      <c r="C17" s="5" t="s">
        <v>141</v>
      </c>
      <c r="D17" s="5" t="s">
        <v>142</v>
      </c>
    </row>
    <row r="18" customFormat="false" ht="19.5" hidden="false" customHeight="true" outlineLevel="0" collapsed="false">
      <c r="A18" s="11" t="s">
        <v>143</v>
      </c>
      <c r="B18" s="30" t="s">
        <v>144</v>
      </c>
      <c r="C18" s="55" t="s">
        <v>145</v>
      </c>
      <c r="D18" s="56" t="s">
        <v>146</v>
      </c>
    </row>
    <row r="19" customFormat="false" ht="19.5" hidden="false" customHeight="true" outlineLevel="0" collapsed="false">
      <c r="A19" s="13" t="s">
        <v>72</v>
      </c>
      <c r="B19" s="25" t="s">
        <v>147</v>
      </c>
      <c r="C19" s="57" t="s">
        <v>148</v>
      </c>
      <c r="D19" s="58" t="s">
        <v>149</v>
      </c>
    </row>
    <row r="20" customFormat="false" ht="19.5" hidden="false" customHeight="true" outlineLevel="0" collapsed="false">
      <c r="A20" s="11" t="s">
        <v>150</v>
      </c>
      <c r="B20" s="30" t="s">
        <v>151</v>
      </c>
      <c r="C20" s="55" t="s">
        <v>148</v>
      </c>
      <c r="D20" s="56" t="s">
        <v>152</v>
      </c>
    </row>
  </sheetData>
  <mergeCells count="3">
    <mergeCell ref="A1:D1"/>
    <mergeCell ref="A3:D3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6C09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153</v>
      </c>
      <c r="B1" s="2"/>
      <c r="C1" s="2"/>
      <c r="D1" s="2"/>
      <c r="E1" s="2"/>
    </row>
    <row r="2" customFormat="false" ht="7.5" hidden="false" customHeight="true" outlineLevel="0" collapsed="false"/>
    <row r="3" customFormat="false" ht="15" hidden="false" customHeight="true" outlineLevel="0" collapsed="false">
      <c r="A3" s="46" t="s">
        <v>154</v>
      </c>
      <c r="B3" s="46"/>
      <c r="C3" s="46"/>
      <c r="D3" s="46"/>
      <c r="E3" s="46"/>
    </row>
    <row r="4" customFormat="false" ht="15" hidden="false" customHeight="true" outlineLevel="0" collapsed="false">
      <c r="A4" s="5" t="s">
        <v>155</v>
      </c>
      <c r="B4" s="5" t="s">
        <v>156</v>
      </c>
      <c r="C4" s="5" t="s">
        <v>157</v>
      </c>
      <c r="D4" s="5" t="s">
        <v>158</v>
      </c>
      <c r="E4" s="5" t="s">
        <v>159</v>
      </c>
    </row>
    <row r="5" customFormat="false" ht="21.75" hidden="false" customHeight="true" outlineLevel="0" collapsed="false">
      <c r="A5" s="9" t="s">
        <v>160</v>
      </c>
      <c r="B5" s="10" t="n">
        <v>6000000</v>
      </c>
      <c r="C5" s="37" t="n">
        <v>0.4</v>
      </c>
      <c r="D5" s="14" t="n">
        <f aca="false">B5*(1-C5)</f>
        <v>3600000</v>
      </c>
      <c r="E5" s="59" t="s">
        <v>161</v>
      </c>
    </row>
    <row r="6" customFormat="false" ht="15" hidden="false" customHeight="true" outlineLevel="0" collapsed="false">
      <c r="A6" s="6" t="s">
        <v>162</v>
      </c>
      <c r="B6" s="7" t="n">
        <v>5000000</v>
      </c>
      <c r="C6" s="34" t="n">
        <v>0.2</v>
      </c>
      <c r="D6" s="12" t="n">
        <f aca="false">B6*(1-C6)</f>
        <v>4000000</v>
      </c>
      <c r="E6" s="60" t="s">
        <v>163</v>
      </c>
    </row>
    <row r="7" customFormat="false" ht="15" hidden="false" customHeight="true" outlineLevel="0" collapsed="false">
      <c r="A7" s="9" t="s">
        <v>32</v>
      </c>
      <c r="B7" s="10" t="n">
        <v>2000000</v>
      </c>
      <c r="C7" s="37" t="n">
        <v>0.5</v>
      </c>
      <c r="D7" s="14" t="n">
        <f aca="false">B7*(1-C7)</f>
        <v>1000000</v>
      </c>
      <c r="E7" s="59" t="s">
        <v>164</v>
      </c>
    </row>
    <row r="8" customFormat="false" ht="15" hidden="false" customHeight="true" outlineLevel="0" collapsed="false">
      <c r="A8" s="61" t="s">
        <v>111</v>
      </c>
      <c r="B8" s="62" t="n">
        <f aca="false">SUM(B5:B7)</f>
        <v>13000000</v>
      </c>
      <c r="C8" s="63" t="s">
        <v>112</v>
      </c>
      <c r="D8" s="62" t="n">
        <f aca="false">SUM(D5:D7)</f>
        <v>8600000</v>
      </c>
      <c r="E8" s="64"/>
    </row>
    <row r="9" customFormat="false" ht="7.5" hidden="false" customHeight="true" outlineLevel="0" collapsed="false"/>
    <row r="10" customFormat="false" ht="15" hidden="false" customHeight="true" outlineLevel="0" collapsed="false">
      <c r="A10" s="46" t="s">
        <v>165</v>
      </c>
      <c r="B10" s="46"/>
      <c r="C10" s="46"/>
      <c r="D10" s="46"/>
      <c r="E10" s="46"/>
    </row>
    <row r="11" customFormat="false" ht="15" hidden="false" customHeight="true" outlineLevel="0" collapsed="false">
      <c r="A11" s="13" t="s">
        <v>120</v>
      </c>
      <c r="B11" s="65" t="n">
        <f aca="false">Loan_Structure!B4</f>
        <v>8000000</v>
      </c>
      <c r="C11" s="17"/>
      <c r="D11" s="17"/>
      <c r="E11" s="17"/>
    </row>
    <row r="12" customFormat="false" ht="15" hidden="false" customHeight="true" outlineLevel="0" collapsed="false">
      <c r="A12" s="11" t="s">
        <v>166</v>
      </c>
      <c r="B12" s="47" t="n">
        <f aca="false">D8</f>
        <v>8600000</v>
      </c>
      <c r="C12" s="17"/>
      <c r="D12" s="17"/>
      <c r="E12" s="17"/>
    </row>
    <row r="13" customFormat="false" ht="15" hidden="false" customHeight="true" outlineLevel="0" collapsed="false">
      <c r="A13" s="13" t="s">
        <v>167</v>
      </c>
      <c r="B13" s="66" t="n">
        <f aca="false">B11/B12</f>
        <v>0.930232558139535</v>
      </c>
      <c r="C13" s="17"/>
      <c r="D13" s="17"/>
      <c r="E13" s="17"/>
    </row>
    <row r="14" customFormat="false" ht="15" hidden="false" customHeight="true" outlineLevel="0" collapsed="false">
      <c r="A14" s="11" t="s">
        <v>168</v>
      </c>
      <c r="B14" s="67" t="n">
        <f aca="false">B12/B11</f>
        <v>1.075</v>
      </c>
      <c r="C14" s="17"/>
      <c r="D14" s="17"/>
      <c r="E14" s="17"/>
    </row>
    <row r="15" customFormat="false" ht="15" hidden="false" customHeight="true" outlineLevel="0" collapsed="false">
      <c r="A15" s="13" t="s">
        <v>169</v>
      </c>
      <c r="B15" s="68" t="n">
        <f aca="false">B11-B12</f>
        <v>-600000</v>
      </c>
      <c r="C15" s="17"/>
      <c r="D15" s="17"/>
      <c r="E15" s="17"/>
    </row>
    <row r="16" customFormat="false" ht="15" hidden="false" customHeight="true" outlineLevel="0" collapsed="false">
      <c r="A16" s="11" t="s">
        <v>170</v>
      </c>
      <c r="B16" s="47" t="n">
        <f aca="false">B12</f>
        <v>8600000</v>
      </c>
      <c r="C16" s="17"/>
      <c r="D16" s="17"/>
      <c r="E16" s="17"/>
    </row>
    <row r="17" customFormat="false" ht="15" hidden="false" customHeight="true" outlineLevel="0" collapsed="false">
      <c r="A17" s="13" t="s">
        <v>171</v>
      </c>
      <c r="B17" s="68" t="n">
        <f aca="false">B11-B16</f>
        <v>-600000</v>
      </c>
      <c r="C17" s="17"/>
      <c r="D17" s="17"/>
      <c r="E17" s="17"/>
    </row>
    <row r="18" customFormat="false" ht="15" hidden="false" customHeight="true" outlineLevel="0" collapsed="false">
      <c r="A18" s="11" t="s">
        <v>172</v>
      </c>
      <c r="B18" s="69" t="str">
        <f aca="false">IF(B14&gt;=1,"Collateral Sufficient — Covenants Strengthen Position","Collateral Deficient — Covenants Required")</f>
        <v>Collateral Sufficient — Covenants Strengthen Position</v>
      </c>
      <c r="C18" s="17"/>
      <c r="D18" s="17"/>
      <c r="E18" s="17"/>
    </row>
  </sheetData>
  <mergeCells count="3">
    <mergeCell ref="A1:E1"/>
    <mergeCell ref="A3:E3"/>
    <mergeCell ref="A10:E10"/>
  </mergeCells>
  <conditionalFormatting sqref="B18">
    <cfRule type="expression" priority="2" aboveAverage="0" equalAverage="0" bottom="0" percent="0" rank="0" text="" dxfId="4">
      <formula>ISNUMBER(SEARCH("Deficient",B18))</formula>
    </cfRule>
    <cfRule type="expression" priority="3" aboveAverage="0" equalAverage="0" bottom="0" percent="0" rank="0" text="" dxfId="3">
      <formula>ISNUMBER(SEARCH("Sufficient",B18))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4"/>
    <col collapsed="false" customWidth="true" hidden="false" outlineLevel="0" max="4" min="3" style="1" width="20"/>
    <col collapsed="false" customWidth="true" hidden="false" outlineLevel="0" max="6" min="5" style="1" width="18"/>
    <col collapsed="false" customWidth="true" hidden="false" outlineLevel="0" max="7" min="7" style="1" width="20"/>
  </cols>
  <sheetData>
    <row r="1" customFormat="false" ht="17.25" hidden="false" customHeight="true" outlineLevel="0" collapsed="false">
      <c r="A1" s="2" t="s">
        <v>173</v>
      </c>
      <c r="B1" s="2"/>
      <c r="C1" s="2"/>
      <c r="D1" s="2"/>
      <c r="E1" s="2"/>
      <c r="F1" s="2"/>
      <c r="G1" s="2"/>
    </row>
    <row r="2" customFormat="false" ht="7.5" hidden="false" customHeight="true" outlineLevel="0" collapsed="false"/>
    <row r="3" customFormat="false" ht="15" hidden="false" customHeight="true" outlineLevel="0" collapsed="false">
      <c r="A3" s="46" t="s">
        <v>174</v>
      </c>
      <c r="B3" s="46"/>
      <c r="C3" s="46"/>
      <c r="D3" s="46"/>
      <c r="E3" s="46"/>
      <c r="F3" s="46"/>
      <c r="G3" s="46"/>
    </row>
    <row r="4" customFormat="false" ht="15" hidden="false" customHeight="true" outlineLevel="0" collapsed="false">
      <c r="A4" s="13" t="s">
        <v>175</v>
      </c>
      <c r="B4" s="70" t="n">
        <f aca="false">Loan_Structure!B4</f>
        <v>8000000</v>
      </c>
      <c r="C4" s="17"/>
      <c r="D4" s="17"/>
      <c r="E4" s="17"/>
      <c r="F4" s="17"/>
      <c r="G4" s="17"/>
    </row>
    <row r="5" customFormat="false" ht="15" hidden="false" customHeight="true" outlineLevel="0" collapsed="false">
      <c r="A5" s="13" t="s">
        <v>176</v>
      </c>
      <c r="B5" s="71" t="n">
        <f aca="false">Loan_Structure!B7</f>
        <v>0.0675</v>
      </c>
      <c r="C5" s="17"/>
      <c r="D5" s="17"/>
      <c r="E5" s="17"/>
      <c r="F5" s="17"/>
      <c r="G5" s="17"/>
    </row>
    <row r="6" customFormat="false" ht="15" hidden="false" customHeight="true" outlineLevel="0" collapsed="false">
      <c r="A6" s="13" t="s">
        <v>177</v>
      </c>
      <c r="B6" s="72" t="n">
        <f aca="false">B5/12</f>
        <v>0.005625</v>
      </c>
      <c r="C6" s="17"/>
      <c r="D6" s="17"/>
      <c r="E6" s="17"/>
      <c r="F6" s="17"/>
      <c r="G6" s="17"/>
    </row>
    <row r="7" customFormat="false" ht="15" hidden="false" customHeight="true" outlineLevel="0" collapsed="false">
      <c r="A7" s="13" t="s">
        <v>178</v>
      </c>
      <c r="B7" s="73" t="n">
        <v>84</v>
      </c>
      <c r="C7" s="17"/>
      <c r="D7" s="17"/>
      <c r="E7" s="17"/>
      <c r="F7" s="17"/>
      <c r="G7" s="17"/>
    </row>
    <row r="8" customFormat="false" ht="15" hidden="false" customHeight="true" outlineLevel="0" collapsed="false">
      <c r="A8" s="13" t="s">
        <v>179</v>
      </c>
      <c r="B8" s="74" t="n">
        <f aca="false">PMT(B6,B7,-B4)</f>
        <v>119766.108776316</v>
      </c>
      <c r="C8" s="17"/>
      <c r="D8" s="17"/>
      <c r="E8" s="17"/>
      <c r="F8" s="17"/>
      <c r="G8" s="17"/>
    </row>
    <row r="9" customFormat="false" ht="7.5" hidden="false" customHeight="true" outlineLevel="0" collapsed="false"/>
    <row r="10" customFormat="false" ht="15" hidden="false" customHeight="true" outlineLevel="0" collapsed="false">
      <c r="A10" s="5" t="s">
        <v>180</v>
      </c>
      <c r="B10" s="5" t="s">
        <v>181</v>
      </c>
      <c r="C10" s="5" t="s">
        <v>182</v>
      </c>
      <c r="D10" s="5" t="s">
        <v>128</v>
      </c>
      <c r="E10" s="5" t="s">
        <v>183</v>
      </c>
      <c r="F10" s="5" t="s">
        <v>184</v>
      </c>
      <c r="G10" s="5" t="s">
        <v>185</v>
      </c>
    </row>
    <row r="11" customFormat="false" ht="15" hidden="false" customHeight="true" outlineLevel="0" collapsed="false">
      <c r="A11" s="75" t="n">
        <v>1</v>
      </c>
      <c r="B11" s="76" t="s">
        <v>186</v>
      </c>
      <c r="C11" s="77" t="n">
        <f aca="false">Loan_Structure!B4</f>
        <v>8000000</v>
      </c>
      <c r="D11" s="77" t="n">
        <f aca="false">$B$8</f>
        <v>119766.108776316</v>
      </c>
      <c r="E11" s="77" t="n">
        <f aca="false">D11-F11</f>
        <v>74766.1087763164</v>
      </c>
      <c r="F11" s="77" t="n">
        <f aca="false">C11*$B$6</f>
        <v>45000</v>
      </c>
      <c r="G11" s="77" t="n">
        <f aca="false">C11-E11</f>
        <v>7925233.89122368</v>
      </c>
    </row>
    <row r="12" customFormat="false" ht="15" hidden="false" customHeight="true" outlineLevel="0" collapsed="false">
      <c r="A12" s="78" t="n">
        <f aca="false">A11+1</f>
        <v>2</v>
      </c>
      <c r="B12" s="79" t="n">
        <f aca="false">EDATE(B11,1)</f>
        <v>45901</v>
      </c>
      <c r="C12" s="80" t="n">
        <f aca="false">G11</f>
        <v>7925233.89122368</v>
      </c>
      <c r="D12" s="80" t="n">
        <f aca="false">$B$8</f>
        <v>119766.108776316</v>
      </c>
      <c r="E12" s="80" t="n">
        <f aca="false">D12-F12</f>
        <v>75186.6681381831</v>
      </c>
      <c r="F12" s="80" t="n">
        <f aca="false">C12*$B$6</f>
        <v>44579.4406381332</v>
      </c>
      <c r="G12" s="80" t="n">
        <f aca="false">C12-E12</f>
        <v>7850047.2230855</v>
      </c>
    </row>
    <row r="13" customFormat="false" ht="15" hidden="false" customHeight="true" outlineLevel="0" collapsed="false">
      <c r="A13" s="75" t="n">
        <f aca="false">A12+1</f>
        <v>3</v>
      </c>
      <c r="B13" s="76" t="n">
        <f aca="false">EDATE(B12,1)</f>
        <v>45931</v>
      </c>
      <c r="C13" s="77" t="n">
        <f aca="false">G12</f>
        <v>7850047.2230855</v>
      </c>
      <c r="D13" s="77" t="n">
        <f aca="false">$B$8</f>
        <v>119766.108776316</v>
      </c>
      <c r="E13" s="77" t="n">
        <f aca="false">D13-F13</f>
        <v>75609.5931464604</v>
      </c>
      <c r="F13" s="77" t="n">
        <f aca="false">C13*$B$6</f>
        <v>44156.515629856</v>
      </c>
      <c r="G13" s="77" t="n">
        <f aca="false">C13-E13</f>
        <v>7774437.62993904</v>
      </c>
    </row>
    <row r="14" customFormat="false" ht="15" hidden="false" customHeight="true" outlineLevel="0" collapsed="false">
      <c r="A14" s="78" t="n">
        <f aca="false">A13+1</f>
        <v>4</v>
      </c>
      <c r="B14" s="79" t="n">
        <f aca="false">EDATE(B13,1)</f>
        <v>45962</v>
      </c>
      <c r="C14" s="80" t="n">
        <f aca="false">G13</f>
        <v>7774437.62993904</v>
      </c>
      <c r="D14" s="80" t="n">
        <f aca="false">$B$8</f>
        <v>119766.108776316</v>
      </c>
      <c r="E14" s="80" t="n">
        <f aca="false">D14-F14</f>
        <v>76034.8971079093</v>
      </c>
      <c r="F14" s="80" t="n">
        <f aca="false">C14*$B$6</f>
        <v>43731.2116684071</v>
      </c>
      <c r="G14" s="80" t="n">
        <f aca="false">C14-E14</f>
        <v>7698402.73283113</v>
      </c>
    </row>
    <row r="15" customFormat="false" ht="15" hidden="false" customHeight="true" outlineLevel="0" collapsed="false">
      <c r="A15" s="75" t="n">
        <f aca="false">A14+1</f>
        <v>5</v>
      </c>
      <c r="B15" s="76" t="n">
        <f aca="false">EDATE(B14,1)</f>
        <v>45992</v>
      </c>
      <c r="C15" s="77" t="n">
        <f aca="false">G14</f>
        <v>7698402.73283113</v>
      </c>
      <c r="D15" s="77" t="n">
        <f aca="false">$B$8</f>
        <v>119766.108776316</v>
      </c>
      <c r="E15" s="77" t="n">
        <f aca="false">D15-F15</f>
        <v>76462.5934041413</v>
      </c>
      <c r="F15" s="77" t="n">
        <f aca="false">C15*$B$6</f>
        <v>43303.5153721751</v>
      </c>
      <c r="G15" s="77" t="n">
        <f aca="false">C15-E15</f>
        <v>7621940.13942699</v>
      </c>
    </row>
    <row r="16" customFormat="false" ht="15" hidden="false" customHeight="true" outlineLevel="0" collapsed="false">
      <c r="A16" s="78" t="n">
        <f aca="false">A15+1</f>
        <v>6</v>
      </c>
      <c r="B16" s="79" t="n">
        <f aca="false">EDATE(B15,1)</f>
        <v>46023</v>
      </c>
      <c r="C16" s="80" t="n">
        <f aca="false">G15</f>
        <v>7621940.13942699</v>
      </c>
      <c r="D16" s="80" t="n">
        <f aca="false">$B$8</f>
        <v>119766.108776316</v>
      </c>
      <c r="E16" s="80" t="n">
        <f aca="false">D16-F16</f>
        <v>76892.6954920396</v>
      </c>
      <c r="F16" s="80" t="n">
        <f aca="false">C16*$B$6</f>
        <v>42873.4132842768</v>
      </c>
      <c r="G16" s="80" t="n">
        <f aca="false">C16-E16</f>
        <v>7545047.44393495</v>
      </c>
    </row>
    <row r="17" customFormat="false" ht="15" hidden="false" customHeight="true" outlineLevel="0" collapsed="false">
      <c r="A17" s="75" t="n">
        <f aca="false">A16+1</f>
        <v>7</v>
      </c>
      <c r="B17" s="76" t="n">
        <f aca="false">EDATE(B16,1)</f>
        <v>46054</v>
      </c>
      <c r="C17" s="77" t="n">
        <f aca="false">G16</f>
        <v>7545047.44393495</v>
      </c>
      <c r="D17" s="77" t="n">
        <f aca="false">$B$8</f>
        <v>119766.108776316</v>
      </c>
      <c r="E17" s="77" t="n">
        <f aca="false">D17-F17</f>
        <v>77325.2169041823</v>
      </c>
      <c r="F17" s="77" t="n">
        <f aca="false">C17*$B$6</f>
        <v>42440.8918721341</v>
      </c>
      <c r="G17" s="77" t="n">
        <f aca="false">C17-E17</f>
        <v>7467722.22703077</v>
      </c>
    </row>
    <row r="18" customFormat="false" ht="15" hidden="false" customHeight="true" outlineLevel="0" collapsed="false">
      <c r="A18" s="78" t="n">
        <f aca="false">A17+1</f>
        <v>8</v>
      </c>
      <c r="B18" s="79" t="n">
        <f aca="false">EDATE(B17,1)</f>
        <v>46082</v>
      </c>
      <c r="C18" s="80" t="n">
        <f aca="false">G17</f>
        <v>7467722.22703077</v>
      </c>
      <c r="D18" s="80" t="n">
        <f aca="false">$B$8</f>
        <v>119766.108776316</v>
      </c>
      <c r="E18" s="80" t="n">
        <f aca="false">D18-F18</f>
        <v>77760.1712492683</v>
      </c>
      <c r="F18" s="80" t="n">
        <f aca="false">C18*$B$6</f>
        <v>42005.9375270481</v>
      </c>
      <c r="G18" s="80" t="n">
        <f aca="false">C18-E18</f>
        <v>7389962.0557815</v>
      </c>
    </row>
    <row r="19" customFormat="false" ht="15" hidden="false" customHeight="true" outlineLevel="0" collapsed="false">
      <c r="A19" s="75" t="n">
        <f aca="false">A18+1</f>
        <v>9</v>
      </c>
      <c r="B19" s="76" t="n">
        <f aca="false">EDATE(B18,1)</f>
        <v>46113</v>
      </c>
      <c r="C19" s="77" t="n">
        <f aca="false">G18</f>
        <v>7389962.0557815</v>
      </c>
      <c r="D19" s="77" t="n">
        <f aca="false">$B$8</f>
        <v>119766.108776316</v>
      </c>
      <c r="E19" s="77" t="n">
        <f aca="false">D19-F19</f>
        <v>78197.5722125454</v>
      </c>
      <c r="F19" s="77" t="n">
        <f aca="false">C19*$B$6</f>
        <v>41568.536563771</v>
      </c>
      <c r="G19" s="77" t="n">
        <f aca="false">C19-E19</f>
        <v>7311764.48356896</v>
      </c>
    </row>
    <row r="20" customFormat="false" ht="15" hidden="false" customHeight="true" outlineLevel="0" collapsed="false">
      <c r="A20" s="78" t="n">
        <f aca="false">A19+1</f>
        <v>10</v>
      </c>
      <c r="B20" s="79" t="n">
        <f aca="false">EDATE(B19,1)</f>
        <v>46143</v>
      </c>
      <c r="C20" s="80" t="n">
        <f aca="false">G19</f>
        <v>7311764.48356896</v>
      </c>
      <c r="D20" s="80" t="n">
        <f aca="false">$B$8</f>
        <v>119766.108776316</v>
      </c>
      <c r="E20" s="80" t="n">
        <f aca="false">D20-F20</f>
        <v>78637.433556241</v>
      </c>
      <c r="F20" s="80" t="n">
        <f aca="false">C20*$B$6</f>
        <v>41128.6752200754</v>
      </c>
      <c r="G20" s="80" t="n">
        <f aca="false">C20-E20</f>
        <v>7233127.05001271</v>
      </c>
    </row>
    <row r="21" customFormat="false" ht="15" hidden="false" customHeight="true" outlineLevel="0" collapsed="false">
      <c r="A21" s="75" t="n">
        <f aca="false">A20+1</f>
        <v>11</v>
      </c>
      <c r="B21" s="76" t="n">
        <f aca="false">EDATE(B20,1)</f>
        <v>46174</v>
      </c>
      <c r="C21" s="77" t="n">
        <f aca="false">G20</f>
        <v>7233127.05001271</v>
      </c>
      <c r="D21" s="77" t="n">
        <f aca="false">$B$8</f>
        <v>119766.108776316</v>
      </c>
      <c r="E21" s="77" t="n">
        <f aca="false">D21-F21</f>
        <v>79079.7691199949</v>
      </c>
      <c r="F21" s="77" t="n">
        <f aca="false">C21*$B$6</f>
        <v>40686.3396563215</v>
      </c>
      <c r="G21" s="77" t="n">
        <f aca="false">C21-E21</f>
        <v>7154047.28089272</v>
      </c>
    </row>
    <row r="22" customFormat="false" ht="15" hidden="false" customHeight="true" outlineLevel="0" collapsed="false">
      <c r="A22" s="78" t="n">
        <f aca="false">A21+1</f>
        <v>12</v>
      </c>
      <c r="B22" s="79" t="n">
        <f aca="false">EDATE(B21,1)</f>
        <v>46204</v>
      </c>
      <c r="C22" s="80" t="n">
        <f aca="false">G21</f>
        <v>7154047.28089272</v>
      </c>
      <c r="D22" s="80" t="n">
        <f aca="false">$B$8</f>
        <v>119766.108776316</v>
      </c>
      <c r="E22" s="80" t="n">
        <f aca="false">D22-F22</f>
        <v>79524.5928212948</v>
      </c>
      <c r="F22" s="80" t="n">
        <f aca="false">C22*$B$6</f>
        <v>40241.5159550216</v>
      </c>
      <c r="G22" s="80" t="n">
        <f aca="false">C22-E22</f>
        <v>7074522.68807143</v>
      </c>
    </row>
    <row r="23" customFormat="false" ht="15" hidden="false" customHeight="true" outlineLevel="0" collapsed="false">
      <c r="A23" s="75" t="n">
        <f aca="false">A22+1</f>
        <v>13</v>
      </c>
      <c r="B23" s="76" t="n">
        <f aca="false">EDATE(B22,1)</f>
        <v>46235</v>
      </c>
      <c r="C23" s="77" t="n">
        <f aca="false">G22</f>
        <v>7074522.68807143</v>
      </c>
      <c r="D23" s="77" t="n">
        <f aca="false">$B$8</f>
        <v>119766.108776316</v>
      </c>
      <c r="E23" s="77" t="n">
        <f aca="false">D23-F23</f>
        <v>79971.9186559146</v>
      </c>
      <c r="F23" s="77" t="n">
        <f aca="false">C23*$B$6</f>
        <v>39794.1901204018</v>
      </c>
      <c r="G23" s="77" t="n">
        <f aca="false">C23-E23</f>
        <v>6994550.76941551</v>
      </c>
    </row>
    <row r="24" customFormat="false" ht="15" hidden="false" customHeight="true" outlineLevel="0" collapsed="false">
      <c r="A24" s="78" t="n">
        <f aca="false">A23+1</f>
        <v>14</v>
      </c>
      <c r="B24" s="79" t="n">
        <f aca="false">EDATE(B23,1)</f>
        <v>46266</v>
      </c>
      <c r="C24" s="80" t="n">
        <f aca="false">G23</f>
        <v>6994550.76941551</v>
      </c>
      <c r="D24" s="80" t="n">
        <f aca="false">$B$8</f>
        <v>119766.108776316</v>
      </c>
      <c r="E24" s="80" t="n">
        <f aca="false">D24-F24</f>
        <v>80421.7606983541</v>
      </c>
      <c r="F24" s="80" t="n">
        <f aca="false">C24*$B$6</f>
        <v>39344.3480779623</v>
      </c>
      <c r="G24" s="80" t="n">
        <f aca="false">C24-E24</f>
        <v>6914129.00871716</v>
      </c>
    </row>
    <row r="25" customFormat="false" ht="15" hidden="false" customHeight="true" outlineLevel="0" collapsed="false">
      <c r="A25" s="75" t="n">
        <f aca="false">A24+1</f>
        <v>15</v>
      </c>
      <c r="B25" s="76" t="n">
        <f aca="false">EDATE(B24,1)</f>
        <v>46296</v>
      </c>
      <c r="C25" s="77" t="n">
        <f aca="false">G24</f>
        <v>6914129.00871716</v>
      </c>
      <c r="D25" s="77" t="n">
        <f aca="false">$B$8</f>
        <v>119766.108776316</v>
      </c>
      <c r="E25" s="77" t="n">
        <f aca="false">D25-F25</f>
        <v>80874.1331022824</v>
      </c>
      <c r="F25" s="77" t="n">
        <f aca="false">C25*$B$6</f>
        <v>38891.975674034</v>
      </c>
      <c r="G25" s="77" t="n">
        <f aca="false">C25-E25</f>
        <v>6833254.87561488</v>
      </c>
    </row>
    <row r="26" customFormat="false" ht="15" hidden="false" customHeight="true" outlineLevel="0" collapsed="false">
      <c r="A26" s="78" t="n">
        <f aca="false">A25+1</f>
        <v>16</v>
      </c>
      <c r="B26" s="79" t="n">
        <f aca="false">EDATE(B25,1)</f>
        <v>46327</v>
      </c>
      <c r="C26" s="80" t="n">
        <f aca="false">G25</f>
        <v>6833254.87561488</v>
      </c>
      <c r="D26" s="80" t="n">
        <f aca="false">$B$8</f>
        <v>119766.108776316</v>
      </c>
      <c r="E26" s="80" t="n">
        <f aca="false">D26-F26</f>
        <v>81329.0501009827</v>
      </c>
      <c r="F26" s="80" t="n">
        <f aca="false">C26*$B$6</f>
        <v>38437.0586753337</v>
      </c>
      <c r="G26" s="80" t="n">
        <f aca="false">C26-E26</f>
        <v>6751925.82551389</v>
      </c>
    </row>
    <row r="27" customFormat="false" ht="15" hidden="false" customHeight="true" outlineLevel="0" collapsed="false">
      <c r="A27" s="75" t="n">
        <f aca="false">A26+1</f>
        <v>17</v>
      </c>
      <c r="B27" s="76" t="n">
        <f aca="false">EDATE(B26,1)</f>
        <v>46357</v>
      </c>
      <c r="C27" s="77" t="n">
        <f aca="false">G26</f>
        <v>6751925.82551389</v>
      </c>
      <c r="D27" s="77" t="n">
        <f aca="false">$B$8</f>
        <v>119766.108776316</v>
      </c>
      <c r="E27" s="77" t="n">
        <f aca="false">D27-F27</f>
        <v>81786.5260078007</v>
      </c>
      <c r="F27" s="77" t="n">
        <f aca="false">C27*$B$6</f>
        <v>37979.5827685157</v>
      </c>
      <c r="G27" s="77" t="n">
        <f aca="false">C27-E27</f>
        <v>6670139.29950609</v>
      </c>
    </row>
    <row r="28" customFormat="false" ht="15" hidden="false" customHeight="true" outlineLevel="0" collapsed="false">
      <c r="A28" s="78" t="n">
        <f aca="false">A27+1</f>
        <v>18</v>
      </c>
      <c r="B28" s="79" t="n">
        <f aca="false">EDATE(B27,1)</f>
        <v>46388</v>
      </c>
      <c r="C28" s="80" t="n">
        <f aca="false">G27</f>
        <v>6670139.29950609</v>
      </c>
      <c r="D28" s="80" t="n">
        <f aca="false">$B$8</f>
        <v>119766.108776316</v>
      </c>
      <c r="E28" s="80" t="n">
        <f aca="false">D28-F28</f>
        <v>82246.5752165946</v>
      </c>
      <c r="F28" s="80" t="n">
        <f aca="false">C28*$B$6</f>
        <v>37519.5335597218</v>
      </c>
      <c r="G28" s="80" t="n">
        <f aca="false">C28-E28</f>
        <v>6587892.7242895</v>
      </c>
    </row>
    <row r="29" customFormat="false" ht="15" hidden="false" customHeight="true" outlineLevel="0" collapsed="false">
      <c r="A29" s="75" t="n">
        <f aca="false">A28+1</f>
        <v>19</v>
      </c>
      <c r="B29" s="76" t="n">
        <f aca="false">EDATE(B28,1)</f>
        <v>46419</v>
      </c>
      <c r="C29" s="77" t="n">
        <f aca="false">G28</f>
        <v>6587892.7242895</v>
      </c>
      <c r="D29" s="77" t="n">
        <f aca="false">$B$8</f>
        <v>119766.108776316</v>
      </c>
      <c r="E29" s="77" t="n">
        <f aca="false">D29-F29</f>
        <v>82709.212202188</v>
      </c>
      <c r="F29" s="77" t="n">
        <f aca="false">C29*$B$6</f>
        <v>37056.8965741284</v>
      </c>
      <c r="G29" s="77" t="n">
        <f aca="false">C29-E29</f>
        <v>6505183.51208731</v>
      </c>
    </row>
    <row r="30" customFormat="false" ht="15" hidden="false" customHeight="true" outlineLevel="0" collapsed="false">
      <c r="A30" s="78" t="n">
        <f aca="false">A29+1</f>
        <v>20</v>
      </c>
      <c r="B30" s="79" t="n">
        <f aca="false">EDATE(B29,1)</f>
        <v>46447</v>
      </c>
      <c r="C30" s="80" t="n">
        <f aca="false">G29</f>
        <v>6505183.51208731</v>
      </c>
      <c r="D30" s="80" t="n">
        <f aca="false">$B$8</f>
        <v>119766.108776316</v>
      </c>
      <c r="E30" s="80" t="n">
        <f aca="false">D30-F30</f>
        <v>83174.4515208252</v>
      </c>
      <c r="F30" s="80" t="n">
        <f aca="false">C30*$B$6</f>
        <v>36591.6572554911</v>
      </c>
      <c r="G30" s="80" t="n">
        <f aca="false">C30-E30</f>
        <v>6422009.06056649</v>
      </c>
    </row>
    <row r="31" customFormat="false" ht="15" hidden="false" customHeight="true" outlineLevel="0" collapsed="false">
      <c r="A31" s="75" t="n">
        <f aca="false">A30+1</f>
        <v>21</v>
      </c>
      <c r="B31" s="76" t="n">
        <f aca="false">EDATE(B30,1)</f>
        <v>46478</v>
      </c>
      <c r="C31" s="77" t="n">
        <f aca="false">G30</f>
        <v>6422009.06056649</v>
      </c>
      <c r="D31" s="77" t="n">
        <f aca="false">$B$8</f>
        <v>119766.108776316</v>
      </c>
      <c r="E31" s="77" t="n">
        <f aca="false">D31-F31</f>
        <v>83642.3078106299</v>
      </c>
      <c r="F31" s="77" t="n">
        <f aca="false">C31*$B$6</f>
        <v>36123.8009656865</v>
      </c>
      <c r="G31" s="77" t="n">
        <f aca="false">C31-E31</f>
        <v>6338366.75275586</v>
      </c>
    </row>
    <row r="32" customFormat="false" ht="15" hidden="false" customHeight="true" outlineLevel="0" collapsed="false">
      <c r="A32" s="78" t="n">
        <f aca="false">A31+1</f>
        <v>22</v>
      </c>
      <c r="B32" s="79" t="n">
        <f aca="false">EDATE(B31,1)</f>
        <v>46508</v>
      </c>
      <c r="C32" s="80" t="n">
        <f aca="false">G31</f>
        <v>6338366.75275586</v>
      </c>
      <c r="D32" s="80" t="n">
        <f aca="false">$B$8</f>
        <v>119766.108776316</v>
      </c>
      <c r="E32" s="80" t="n">
        <f aca="false">D32-F32</f>
        <v>84112.7957920647</v>
      </c>
      <c r="F32" s="80" t="n">
        <f aca="false">C32*$B$6</f>
        <v>35653.3129842517</v>
      </c>
      <c r="G32" s="80" t="n">
        <f aca="false">C32-E32</f>
        <v>6254253.95696379</v>
      </c>
    </row>
    <row r="33" customFormat="false" ht="15" hidden="false" customHeight="true" outlineLevel="0" collapsed="false">
      <c r="A33" s="75" t="n">
        <f aca="false">A32+1</f>
        <v>23</v>
      </c>
      <c r="B33" s="76" t="n">
        <f aca="false">EDATE(B32,1)</f>
        <v>46539</v>
      </c>
      <c r="C33" s="77" t="n">
        <f aca="false">G32</f>
        <v>6254253.95696379</v>
      </c>
      <c r="D33" s="77" t="n">
        <f aca="false">$B$8</f>
        <v>119766.108776316</v>
      </c>
      <c r="E33" s="77" t="n">
        <f aca="false">D33-F33</f>
        <v>84585.930268395</v>
      </c>
      <c r="F33" s="77" t="n">
        <f aca="false">C33*$B$6</f>
        <v>35180.1785079213</v>
      </c>
      <c r="G33" s="77" t="n">
        <f aca="false">C33-E33</f>
        <v>6169668.0266954</v>
      </c>
    </row>
    <row r="34" customFormat="false" ht="15" hidden="false" customHeight="true" outlineLevel="0" collapsed="false">
      <c r="A34" s="78" t="n">
        <f aca="false">A33+1</f>
        <v>24</v>
      </c>
      <c r="B34" s="79" t="n">
        <f aca="false">EDATE(B33,1)</f>
        <v>46569</v>
      </c>
      <c r="C34" s="80" t="n">
        <f aca="false">G33</f>
        <v>6169668.0266954</v>
      </c>
      <c r="D34" s="80" t="n">
        <f aca="false">$B$8</f>
        <v>119766.108776316</v>
      </c>
      <c r="E34" s="80" t="n">
        <f aca="false">D34-F34</f>
        <v>85061.7261261548</v>
      </c>
      <c r="F34" s="80" t="n">
        <f aca="false">C34*$B$6</f>
        <v>34704.3826501616</v>
      </c>
      <c r="G34" s="80" t="n">
        <f aca="false">C34-E34</f>
        <v>6084606.30056924</v>
      </c>
    </row>
    <row r="35" customFormat="false" ht="15" hidden="false" customHeight="true" outlineLevel="0" collapsed="false">
      <c r="A35" s="75" t="n">
        <f aca="false">A34+1</f>
        <v>25</v>
      </c>
      <c r="B35" s="76" t="n">
        <f aca="false">EDATE(B34,1)</f>
        <v>46600</v>
      </c>
      <c r="C35" s="77" t="n">
        <f aca="false">G34</f>
        <v>6084606.30056924</v>
      </c>
      <c r="D35" s="77" t="n">
        <f aca="false">$B$8</f>
        <v>119766.108776316</v>
      </c>
      <c r="E35" s="77" t="n">
        <f aca="false">D35-F35</f>
        <v>85540.1983356144</v>
      </c>
      <c r="F35" s="77" t="n">
        <f aca="false">C35*$B$6</f>
        <v>34225.910440702</v>
      </c>
      <c r="G35" s="77" t="n">
        <f aca="false">C35-E35</f>
        <v>5999066.10223363</v>
      </c>
    </row>
    <row r="36" customFormat="false" ht="15" hidden="false" customHeight="true" outlineLevel="0" collapsed="false">
      <c r="A36" s="78" t="n">
        <f aca="false">A35+1</f>
        <v>26</v>
      </c>
      <c r="B36" s="79" t="n">
        <f aca="false">EDATE(B35,1)</f>
        <v>46631</v>
      </c>
      <c r="C36" s="80" t="n">
        <f aca="false">G35</f>
        <v>5999066.10223363</v>
      </c>
      <c r="D36" s="80" t="n">
        <f aca="false">$B$8</f>
        <v>119766.108776316</v>
      </c>
      <c r="E36" s="80" t="n">
        <f aca="false">D36-F36</f>
        <v>86021.3619512522</v>
      </c>
      <c r="F36" s="80" t="n">
        <f aca="false">C36*$B$6</f>
        <v>33744.7468250642</v>
      </c>
      <c r="G36" s="80" t="n">
        <f aca="false">C36-E36</f>
        <v>5913044.74028237</v>
      </c>
    </row>
    <row r="37" customFormat="false" ht="15" hidden="false" customHeight="true" outlineLevel="0" collapsed="false">
      <c r="A37" s="75" t="n">
        <f aca="false">A36+1</f>
        <v>27</v>
      </c>
      <c r="B37" s="76" t="n">
        <f aca="false">EDATE(B36,1)</f>
        <v>46661</v>
      </c>
      <c r="C37" s="77" t="n">
        <f aca="false">G36</f>
        <v>5913044.74028237</v>
      </c>
      <c r="D37" s="77" t="n">
        <f aca="false">$B$8</f>
        <v>119766.108776316</v>
      </c>
      <c r="E37" s="77" t="n">
        <f aca="false">D37-F37</f>
        <v>86505.232112228</v>
      </c>
      <c r="F37" s="77" t="n">
        <f aca="false">C37*$B$6</f>
        <v>33260.8766640884</v>
      </c>
      <c r="G37" s="77" t="n">
        <f aca="false">C37-E37</f>
        <v>5826539.50817015</v>
      </c>
    </row>
    <row r="38" customFormat="false" ht="15" hidden="false" customHeight="true" outlineLevel="0" collapsed="false">
      <c r="A38" s="78" t="n">
        <f aca="false">A37+1</f>
        <v>28</v>
      </c>
      <c r="B38" s="79" t="n">
        <f aca="false">EDATE(B37,1)</f>
        <v>46692</v>
      </c>
      <c r="C38" s="80" t="n">
        <f aca="false">G37</f>
        <v>5826539.50817015</v>
      </c>
      <c r="D38" s="80" t="n">
        <f aca="false">$B$8</f>
        <v>119766.108776316</v>
      </c>
      <c r="E38" s="80" t="n">
        <f aca="false">D38-F38</f>
        <v>86991.8240428593</v>
      </c>
      <c r="F38" s="80" t="n">
        <f aca="false">C38*$B$6</f>
        <v>32774.2847334571</v>
      </c>
      <c r="G38" s="80" t="n">
        <f aca="false">C38-E38</f>
        <v>5739547.68412729</v>
      </c>
    </row>
    <row r="39" customFormat="false" ht="15" hidden="false" customHeight="true" outlineLevel="0" collapsed="false">
      <c r="A39" s="75" t="n">
        <f aca="false">A38+1</f>
        <v>29</v>
      </c>
      <c r="B39" s="76" t="n">
        <f aca="false">EDATE(B38,1)</f>
        <v>46722</v>
      </c>
      <c r="C39" s="77" t="n">
        <f aca="false">G38</f>
        <v>5739547.68412729</v>
      </c>
      <c r="D39" s="77" t="n">
        <f aca="false">$B$8</f>
        <v>119766.108776316</v>
      </c>
      <c r="E39" s="77" t="n">
        <f aca="false">D39-F39</f>
        <v>87481.1530531004</v>
      </c>
      <c r="F39" s="77" t="n">
        <f aca="false">C39*$B$6</f>
        <v>32284.955723216</v>
      </c>
      <c r="G39" s="77" t="n">
        <f aca="false">C39-E39</f>
        <v>5652066.53107419</v>
      </c>
    </row>
    <row r="40" customFormat="false" ht="15" hidden="false" customHeight="true" outlineLevel="0" collapsed="false">
      <c r="A40" s="78" t="n">
        <f aca="false">A39+1</f>
        <v>30</v>
      </c>
      <c r="B40" s="79" t="n">
        <f aca="false">EDATE(B39,1)</f>
        <v>46753</v>
      </c>
      <c r="C40" s="80" t="n">
        <f aca="false">G39</f>
        <v>5652066.53107419</v>
      </c>
      <c r="D40" s="80" t="n">
        <f aca="false">$B$8</f>
        <v>119766.108776316</v>
      </c>
      <c r="E40" s="80" t="n">
        <f aca="false">D40-F40</f>
        <v>87973.2345390241</v>
      </c>
      <c r="F40" s="80" t="n">
        <f aca="false">C40*$B$6</f>
        <v>31792.8742372923</v>
      </c>
      <c r="G40" s="80" t="n">
        <f aca="false">C40-E40</f>
        <v>5564093.29653516</v>
      </c>
    </row>
    <row r="41" customFormat="false" ht="15" hidden="false" customHeight="true" outlineLevel="0" collapsed="false">
      <c r="A41" s="75" t="n">
        <f aca="false">A40+1</f>
        <v>31</v>
      </c>
      <c r="B41" s="76" t="n">
        <f aca="false">EDATE(B40,1)</f>
        <v>46784</v>
      </c>
      <c r="C41" s="77" t="n">
        <f aca="false">G40</f>
        <v>5564093.29653516</v>
      </c>
      <c r="D41" s="77" t="n">
        <f aca="false">$B$8</f>
        <v>119766.108776316</v>
      </c>
      <c r="E41" s="77" t="n">
        <f aca="false">D41-F41</f>
        <v>88468.0839833061</v>
      </c>
      <c r="F41" s="77" t="n">
        <f aca="false">C41*$B$6</f>
        <v>31298.0247930103</v>
      </c>
      <c r="G41" s="77" t="n">
        <f aca="false">C41-E41</f>
        <v>5475625.21255186</v>
      </c>
    </row>
    <row r="42" customFormat="false" ht="15" hidden="false" customHeight="true" outlineLevel="0" collapsed="false">
      <c r="A42" s="78" t="n">
        <f aca="false">A41+1</f>
        <v>32</v>
      </c>
      <c r="B42" s="79" t="n">
        <f aca="false">EDATE(B41,1)</f>
        <v>46813</v>
      </c>
      <c r="C42" s="80" t="n">
        <f aca="false">G41</f>
        <v>5475625.21255186</v>
      </c>
      <c r="D42" s="80" t="n">
        <f aca="false">$B$8</f>
        <v>119766.108776316</v>
      </c>
      <c r="E42" s="80" t="n">
        <f aca="false">D42-F42</f>
        <v>88965.7169557122</v>
      </c>
      <c r="F42" s="80" t="n">
        <f aca="false">C42*$B$6</f>
        <v>30800.3918206042</v>
      </c>
      <c r="G42" s="80" t="n">
        <f aca="false">C42-E42</f>
        <v>5386659.49559614</v>
      </c>
    </row>
    <row r="43" customFormat="false" ht="15" hidden="false" customHeight="true" outlineLevel="0" collapsed="false">
      <c r="A43" s="75" t="n">
        <f aca="false">A42+1</f>
        <v>33</v>
      </c>
      <c r="B43" s="76" t="n">
        <f aca="false">EDATE(B42,1)</f>
        <v>46844</v>
      </c>
      <c r="C43" s="77" t="n">
        <f aca="false">G42</f>
        <v>5386659.49559614</v>
      </c>
      <c r="D43" s="77" t="n">
        <f aca="false">$B$8</f>
        <v>119766.108776316</v>
      </c>
      <c r="E43" s="77" t="n">
        <f aca="false">D43-F43</f>
        <v>89466.1491135881</v>
      </c>
      <c r="F43" s="77" t="n">
        <f aca="false">C43*$B$6</f>
        <v>30299.9596627283</v>
      </c>
      <c r="G43" s="77" t="n">
        <f aca="false">C43-E43</f>
        <v>5297193.34648256</v>
      </c>
    </row>
    <row r="44" customFormat="false" ht="15" hidden="false" customHeight="true" outlineLevel="0" collapsed="false">
      <c r="A44" s="78" t="n">
        <f aca="false">A43+1</f>
        <v>34</v>
      </c>
      <c r="B44" s="79" t="n">
        <f aca="false">EDATE(B43,1)</f>
        <v>46874</v>
      </c>
      <c r="C44" s="80" t="n">
        <f aca="false">G43</f>
        <v>5297193.34648256</v>
      </c>
      <c r="D44" s="80" t="n">
        <f aca="false">$B$8</f>
        <v>119766.108776316</v>
      </c>
      <c r="E44" s="80" t="n">
        <f aca="false">D44-F44</f>
        <v>89969.396202352</v>
      </c>
      <c r="F44" s="80" t="n">
        <f aca="false">C44*$B$6</f>
        <v>29796.7125739644</v>
      </c>
      <c r="G44" s="80" t="n">
        <f aca="false">C44-E44</f>
        <v>5207223.9502802</v>
      </c>
    </row>
    <row r="45" customFormat="false" ht="15" hidden="false" customHeight="true" outlineLevel="0" collapsed="false">
      <c r="A45" s="75" t="n">
        <f aca="false">A44+1</f>
        <v>35</v>
      </c>
      <c r="B45" s="76" t="n">
        <f aca="false">EDATE(B44,1)</f>
        <v>46905</v>
      </c>
      <c r="C45" s="77" t="n">
        <f aca="false">G44</f>
        <v>5207223.9502802</v>
      </c>
      <c r="D45" s="77" t="n">
        <f aca="false">$B$8</f>
        <v>119766.108776316</v>
      </c>
      <c r="E45" s="77" t="n">
        <f aca="false">D45-F45</f>
        <v>90475.4740559902</v>
      </c>
      <c r="F45" s="77" t="n">
        <f aca="false">C45*$B$6</f>
        <v>29290.6347203262</v>
      </c>
      <c r="G45" s="77" t="n">
        <f aca="false">C45-E45</f>
        <v>5116748.47622421</v>
      </c>
    </row>
    <row r="46" customFormat="false" ht="15" hidden="false" customHeight="true" outlineLevel="0" collapsed="false">
      <c r="A46" s="78" t="n">
        <f aca="false">A45+1</f>
        <v>36</v>
      </c>
      <c r="B46" s="79" t="n">
        <f aca="false">EDATE(B45,1)</f>
        <v>46935</v>
      </c>
      <c r="C46" s="80" t="n">
        <f aca="false">G45</f>
        <v>5116748.47622421</v>
      </c>
      <c r="D46" s="80" t="n">
        <f aca="false">$B$8</f>
        <v>119766.108776316</v>
      </c>
      <c r="E46" s="80" t="n">
        <f aca="false">D46-F46</f>
        <v>90984.3985975552</v>
      </c>
      <c r="F46" s="80" t="n">
        <f aca="false">C46*$B$6</f>
        <v>28781.7101787612</v>
      </c>
      <c r="G46" s="80" t="n">
        <f aca="false">C46-E46</f>
        <v>5025764.07762666</v>
      </c>
    </row>
    <row r="47" customFormat="false" ht="15" hidden="false" customHeight="true" outlineLevel="0" collapsed="false">
      <c r="A47" s="75" t="n">
        <f aca="false">A46+1</f>
        <v>37</v>
      </c>
      <c r="B47" s="76" t="n">
        <f aca="false">EDATE(B46,1)</f>
        <v>46966</v>
      </c>
      <c r="C47" s="77" t="n">
        <f aca="false">G46</f>
        <v>5025764.07762666</v>
      </c>
      <c r="D47" s="77" t="n">
        <f aca="false">$B$8</f>
        <v>119766.108776316</v>
      </c>
      <c r="E47" s="77" t="n">
        <f aca="false">D47-F47</f>
        <v>91496.1858396664</v>
      </c>
      <c r="F47" s="77" t="n">
        <f aca="false">C47*$B$6</f>
        <v>28269.92293665</v>
      </c>
      <c r="G47" s="77" t="n">
        <f aca="false">C47-E47</f>
        <v>4934267.89178699</v>
      </c>
    </row>
    <row r="48" customFormat="false" ht="15" hidden="false" customHeight="true" outlineLevel="0" collapsed="false">
      <c r="A48" s="78" t="n">
        <f aca="false">A47+1</f>
        <v>38</v>
      </c>
      <c r="B48" s="79" t="n">
        <f aca="false">EDATE(B47,1)</f>
        <v>46997</v>
      </c>
      <c r="C48" s="80" t="n">
        <f aca="false">G47</f>
        <v>4934267.89178699</v>
      </c>
      <c r="D48" s="80" t="n">
        <f aca="false">$B$8</f>
        <v>119766.108776316</v>
      </c>
      <c r="E48" s="80" t="n">
        <f aca="false">D48-F48</f>
        <v>92010.8518850145</v>
      </c>
      <c r="F48" s="80" t="n">
        <f aca="false">C48*$B$6</f>
        <v>27755.2568913018</v>
      </c>
      <c r="G48" s="80" t="n">
        <f aca="false">C48-E48</f>
        <v>4842257.03990198</v>
      </c>
    </row>
    <row r="49" customFormat="false" ht="15" hidden="false" customHeight="true" outlineLevel="0" collapsed="false">
      <c r="A49" s="75" t="n">
        <f aca="false">A48+1</f>
        <v>39</v>
      </c>
      <c r="B49" s="76" t="n">
        <f aca="false">EDATE(B48,1)</f>
        <v>47027</v>
      </c>
      <c r="C49" s="77" t="n">
        <f aca="false">G48</f>
        <v>4842257.03990198</v>
      </c>
      <c r="D49" s="77" t="n">
        <f aca="false">$B$8</f>
        <v>119766.108776316</v>
      </c>
      <c r="E49" s="77" t="n">
        <f aca="false">D49-F49</f>
        <v>92528.4129268677</v>
      </c>
      <c r="F49" s="77" t="n">
        <f aca="false">C49*$B$6</f>
        <v>27237.6958494486</v>
      </c>
      <c r="G49" s="77" t="n">
        <f aca="false">C49-E49</f>
        <v>4749728.62697511</v>
      </c>
    </row>
    <row r="50" customFormat="false" ht="15" hidden="false" customHeight="true" outlineLevel="0" collapsed="false">
      <c r="A50" s="78" t="n">
        <f aca="false">A49+1</f>
        <v>40</v>
      </c>
      <c r="B50" s="79" t="n">
        <f aca="false">EDATE(B49,1)</f>
        <v>47058</v>
      </c>
      <c r="C50" s="80" t="n">
        <f aca="false">G49</f>
        <v>4749728.62697511</v>
      </c>
      <c r="D50" s="80" t="n">
        <f aca="false">$B$8</f>
        <v>119766.108776316</v>
      </c>
      <c r="E50" s="80" t="n">
        <f aca="false">D50-F50</f>
        <v>93048.8852495814</v>
      </c>
      <c r="F50" s="80" t="n">
        <f aca="false">C50*$B$6</f>
        <v>26717.223526735</v>
      </c>
      <c r="G50" s="80" t="n">
        <f aca="false">C50-E50</f>
        <v>4656679.74172553</v>
      </c>
    </row>
    <row r="51" customFormat="false" ht="15" hidden="false" customHeight="true" outlineLevel="0" collapsed="false">
      <c r="A51" s="75" t="n">
        <f aca="false">A50+1</f>
        <v>41</v>
      </c>
      <c r="B51" s="76" t="n">
        <f aca="false">EDATE(B50,1)</f>
        <v>47088</v>
      </c>
      <c r="C51" s="77" t="n">
        <f aca="false">G50</f>
        <v>4656679.74172553</v>
      </c>
      <c r="D51" s="77" t="n">
        <f aca="false">$B$8</f>
        <v>119766.108776316</v>
      </c>
      <c r="E51" s="77" t="n">
        <f aca="false">D51-F51</f>
        <v>93572.2852291103</v>
      </c>
      <c r="F51" s="77" t="n">
        <f aca="false">C51*$B$6</f>
        <v>26193.8235472061</v>
      </c>
      <c r="G51" s="77" t="n">
        <f aca="false">C51-E51</f>
        <v>4563107.45649642</v>
      </c>
    </row>
    <row r="52" customFormat="false" ht="15" hidden="false" customHeight="true" outlineLevel="0" collapsed="false">
      <c r="A52" s="78" t="n">
        <f aca="false">A51+1</f>
        <v>42</v>
      </c>
      <c r="B52" s="79" t="n">
        <f aca="false">EDATE(B51,1)</f>
        <v>47119</v>
      </c>
      <c r="C52" s="80" t="n">
        <f aca="false">G51</f>
        <v>4563107.45649642</v>
      </c>
      <c r="D52" s="80" t="n">
        <f aca="false">$B$8</f>
        <v>119766.108776316</v>
      </c>
      <c r="E52" s="80" t="n">
        <f aca="false">D52-F52</f>
        <v>94098.629333524</v>
      </c>
      <c r="F52" s="80" t="n">
        <f aca="false">C52*$B$6</f>
        <v>25667.4794427924</v>
      </c>
      <c r="G52" s="80" t="n">
        <f aca="false">C52-E52</f>
        <v>4469008.8271629</v>
      </c>
    </row>
    <row r="53" customFormat="false" ht="15" hidden="false" customHeight="true" outlineLevel="0" collapsed="false">
      <c r="A53" s="75" t="n">
        <f aca="false">A52+1</f>
        <v>43</v>
      </c>
      <c r="B53" s="76" t="n">
        <f aca="false">EDATE(B52,1)</f>
        <v>47150</v>
      </c>
      <c r="C53" s="77" t="n">
        <f aca="false">G52</f>
        <v>4469008.8271629</v>
      </c>
      <c r="D53" s="77" t="n">
        <f aca="false">$B$8</f>
        <v>119766.108776316</v>
      </c>
      <c r="E53" s="77" t="n">
        <f aca="false">D53-F53</f>
        <v>94627.9341235251</v>
      </c>
      <c r="F53" s="77" t="n">
        <f aca="false">C53*$B$6</f>
        <v>25138.1746527913</v>
      </c>
      <c r="G53" s="77" t="n">
        <f aca="false">C53-E53</f>
        <v>4374380.89303937</v>
      </c>
    </row>
    <row r="54" customFormat="false" ht="15" hidden="false" customHeight="true" outlineLevel="0" collapsed="false">
      <c r="A54" s="78" t="n">
        <f aca="false">A53+1</f>
        <v>44</v>
      </c>
      <c r="B54" s="79" t="n">
        <f aca="false">EDATE(B53,1)</f>
        <v>47178</v>
      </c>
      <c r="C54" s="80" t="n">
        <f aca="false">G53</f>
        <v>4374380.89303937</v>
      </c>
      <c r="D54" s="80" t="n">
        <f aca="false">$B$8</f>
        <v>119766.108776316</v>
      </c>
      <c r="E54" s="80" t="n">
        <f aca="false">D54-F54</f>
        <v>95160.2162529699</v>
      </c>
      <c r="F54" s="80" t="n">
        <f aca="false">C54*$B$6</f>
        <v>24605.8925233465</v>
      </c>
      <c r="G54" s="80" t="n">
        <f aca="false">C54-E54</f>
        <v>4279220.6767864</v>
      </c>
    </row>
    <row r="55" customFormat="false" ht="15" hidden="false" customHeight="true" outlineLevel="0" collapsed="false">
      <c r="A55" s="75" t="n">
        <f aca="false">A54+1</f>
        <v>45</v>
      </c>
      <c r="B55" s="76" t="n">
        <f aca="false">EDATE(B54,1)</f>
        <v>47209</v>
      </c>
      <c r="C55" s="77" t="n">
        <f aca="false">G54</f>
        <v>4279220.6767864</v>
      </c>
      <c r="D55" s="77" t="n">
        <f aca="false">$B$8</f>
        <v>119766.108776316</v>
      </c>
      <c r="E55" s="77" t="n">
        <f aca="false">D55-F55</f>
        <v>95695.4924693929</v>
      </c>
      <c r="F55" s="77" t="n">
        <f aca="false">C55*$B$6</f>
        <v>24070.6163069235</v>
      </c>
      <c r="G55" s="77" t="n">
        <f aca="false">C55-E55</f>
        <v>4183525.18431701</v>
      </c>
    </row>
    <row r="56" customFormat="false" ht="15" hidden="false" customHeight="true" outlineLevel="0" collapsed="false">
      <c r="A56" s="78" t="n">
        <f aca="false">A55+1</f>
        <v>46</v>
      </c>
      <c r="B56" s="79" t="n">
        <f aca="false">EDATE(B55,1)</f>
        <v>47239</v>
      </c>
      <c r="C56" s="80" t="n">
        <f aca="false">G55</f>
        <v>4183525.18431701</v>
      </c>
      <c r="D56" s="80" t="n">
        <f aca="false">$B$8</f>
        <v>119766.108776316</v>
      </c>
      <c r="E56" s="80" t="n">
        <f aca="false">D56-F56</f>
        <v>96233.7796145332</v>
      </c>
      <c r="F56" s="80" t="n">
        <f aca="false">C56*$B$6</f>
        <v>23532.3291617832</v>
      </c>
      <c r="G56" s="80" t="n">
        <f aca="false">C56-E56</f>
        <v>4087291.40470247</v>
      </c>
    </row>
    <row r="57" customFormat="false" ht="15" hidden="false" customHeight="true" outlineLevel="0" collapsed="false">
      <c r="A57" s="75" t="n">
        <f aca="false">A56+1</f>
        <v>47</v>
      </c>
      <c r="B57" s="76" t="n">
        <f aca="false">EDATE(B56,1)</f>
        <v>47270</v>
      </c>
      <c r="C57" s="77" t="n">
        <f aca="false">G56</f>
        <v>4087291.40470247</v>
      </c>
      <c r="D57" s="77" t="n">
        <f aca="false">$B$8</f>
        <v>119766.108776316</v>
      </c>
      <c r="E57" s="77" t="n">
        <f aca="false">D57-F57</f>
        <v>96775.0946248649</v>
      </c>
      <c r="F57" s="77" t="n">
        <f aca="false">C57*$B$6</f>
        <v>22991.0141514514</v>
      </c>
      <c r="G57" s="77" t="n">
        <f aca="false">C57-E57</f>
        <v>3990516.31007761</v>
      </c>
    </row>
    <row r="58" customFormat="false" ht="15" hidden="false" customHeight="true" outlineLevel="0" collapsed="false">
      <c r="A58" s="78" t="n">
        <f aca="false">A57+1</f>
        <v>48</v>
      </c>
      <c r="B58" s="79" t="n">
        <f aca="false">EDATE(B57,1)</f>
        <v>47300</v>
      </c>
      <c r="C58" s="80" t="n">
        <f aca="false">G57</f>
        <v>3990516.31007761</v>
      </c>
      <c r="D58" s="80" t="n">
        <f aca="false">$B$8</f>
        <v>119766.108776316</v>
      </c>
      <c r="E58" s="80" t="n">
        <f aca="false">D58-F58</f>
        <v>97319.4545321298</v>
      </c>
      <c r="F58" s="80" t="n">
        <f aca="false">C58*$B$6</f>
        <v>22446.6542441866</v>
      </c>
      <c r="G58" s="80" t="n">
        <f aca="false">C58-E58</f>
        <v>3893196.85554548</v>
      </c>
    </row>
    <row r="59" customFormat="false" ht="15" hidden="false" customHeight="true" outlineLevel="0" collapsed="false">
      <c r="A59" s="75" t="n">
        <f aca="false">A58+1</f>
        <v>49</v>
      </c>
      <c r="B59" s="76" t="n">
        <f aca="false">EDATE(B58,1)</f>
        <v>47331</v>
      </c>
      <c r="C59" s="77" t="n">
        <f aca="false">G58</f>
        <v>3893196.85554548</v>
      </c>
      <c r="D59" s="77" t="n">
        <f aca="false">$B$8</f>
        <v>119766.108776316</v>
      </c>
      <c r="E59" s="77" t="n">
        <f aca="false">D59-F59</f>
        <v>97866.876463873</v>
      </c>
      <c r="F59" s="77" t="n">
        <f aca="false">C59*$B$6</f>
        <v>21899.2323124433</v>
      </c>
      <c r="G59" s="77" t="n">
        <f aca="false">C59-E59</f>
        <v>3795329.97908161</v>
      </c>
    </row>
    <row r="60" customFormat="false" ht="15" hidden="false" customHeight="true" outlineLevel="0" collapsed="false">
      <c r="A60" s="78" t="n">
        <f aca="false">A59+1</f>
        <v>50</v>
      </c>
      <c r="B60" s="79" t="n">
        <f aca="false">EDATE(B59,1)</f>
        <v>47362</v>
      </c>
      <c r="C60" s="80" t="n">
        <f aca="false">G59</f>
        <v>3795329.97908161</v>
      </c>
      <c r="D60" s="80" t="n">
        <f aca="false">$B$8</f>
        <v>119766.108776316</v>
      </c>
      <c r="E60" s="80" t="n">
        <f aca="false">D60-F60</f>
        <v>98417.3776439823</v>
      </c>
      <c r="F60" s="80" t="n">
        <f aca="false">C60*$B$6</f>
        <v>21348.731132334</v>
      </c>
      <c r="G60" s="80" t="n">
        <f aca="false">C60-E60</f>
        <v>3696912.60143762</v>
      </c>
    </row>
    <row r="61" customFormat="false" ht="15" hidden="false" customHeight="true" outlineLevel="0" collapsed="false">
      <c r="A61" s="75" t="n">
        <f aca="false">A60+1</f>
        <v>51</v>
      </c>
      <c r="B61" s="76" t="n">
        <f aca="false">EDATE(B60,1)</f>
        <v>47392</v>
      </c>
      <c r="C61" s="77" t="n">
        <f aca="false">G60</f>
        <v>3696912.60143762</v>
      </c>
      <c r="D61" s="77" t="n">
        <f aca="false">$B$8</f>
        <v>119766.108776316</v>
      </c>
      <c r="E61" s="77" t="n">
        <f aca="false">D61-F61</f>
        <v>98970.9753932297</v>
      </c>
      <c r="F61" s="77" t="n">
        <f aca="false">C61*$B$6</f>
        <v>20795.1333830866</v>
      </c>
      <c r="G61" s="77" t="n">
        <f aca="false">C61-E61</f>
        <v>3597941.6260444</v>
      </c>
    </row>
    <row r="62" customFormat="false" ht="15" hidden="false" customHeight="true" outlineLevel="0" collapsed="false">
      <c r="A62" s="78" t="n">
        <f aca="false">A61+1</f>
        <v>52</v>
      </c>
      <c r="B62" s="79" t="n">
        <f aca="false">EDATE(B61,1)</f>
        <v>47423</v>
      </c>
      <c r="C62" s="80" t="n">
        <f aca="false">G61</f>
        <v>3597941.6260444</v>
      </c>
      <c r="D62" s="80" t="n">
        <f aca="false">$B$8</f>
        <v>119766.108776316</v>
      </c>
      <c r="E62" s="80" t="n">
        <f aca="false">D62-F62</f>
        <v>99527.6871298167</v>
      </c>
      <c r="F62" s="80" t="n">
        <f aca="false">C62*$B$6</f>
        <v>20238.4216464997</v>
      </c>
      <c r="G62" s="80" t="n">
        <f aca="false">C62-E62</f>
        <v>3498413.93891458</v>
      </c>
    </row>
    <row r="63" customFormat="false" ht="15" hidden="false" customHeight="true" outlineLevel="0" collapsed="false">
      <c r="A63" s="75" t="n">
        <f aca="false">A62+1</f>
        <v>53</v>
      </c>
      <c r="B63" s="76" t="n">
        <f aca="false">EDATE(B62,1)</f>
        <v>47453</v>
      </c>
      <c r="C63" s="77" t="n">
        <f aca="false">G62</f>
        <v>3498413.93891458</v>
      </c>
      <c r="D63" s="77" t="n">
        <f aca="false">$B$8</f>
        <v>119766.108776316</v>
      </c>
      <c r="E63" s="77" t="n">
        <f aca="false">D63-F63</f>
        <v>100087.530369922</v>
      </c>
      <c r="F63" s="77" t="n">
        <f aca="false">C63*$B$6</f>
        <v>19678.5784063945</v>
      </c>
      <c r="G63" s="77" t="n">
        <f aca="false">C63-E63</f>
        <v>3398326.40854466</v>
      </c>
    </row>
    <row r="64" customFormat="false" ht="15" hidden="false" customHeight="true" outlineLevel="0" collapsed="false">
      <c r="A64" s="78" t="n">
        <f aca="false">A63+1</f>
        <v>54</v>
      </c>
      <c r="B64" s="79" t="n">
        <f aca="false">EDATE(B63,1)</f>
        <v>47484</v>
      </c>
      <c r="C64" s="80" t="n">
        <f aca="false">G63</f>
        <v>3398326.40854466</v>
      </c>
      <c r="D64" s="80" t="n">
        <f aca="false">$B$8</f>
        <v>119766.108776316</v>
      </c>
      <c r="E64" s="80" t="n">
        <f aca="false">D64-F64</f>
        <v>100650.522728253</v>
      </c>
      <c r="F64" s="80" t="n">
        <f aca="false">C64*$B$6</f>
        <v>19115.5860480637</v>
      </c>
      <c r="G64" s="80" t="n">
        <f aca="false">C64-E64</f>
        <v>3297675.8858164</v>
      </c>
    </row>
    <row r="65" customFormat="false" ht="15" hidden="false" customHeight="true" outlineLevel="0" collapsed="false">
      <c r="A65" s="75" t="n">
        <f aca="false">A64+1</f>
        <v>55</v>
      </c>
      <c r="B65" s="76" t="n">
        <f aca="false">EDATE(B64,1)</f>
        <v>47515</v>
      </c>
      <c r="C65" s="77" t="n">
        <f aca="false">G64</f>
        <v>3297675.8858164</v>
      </c>
      <c r="D65" s="77" t="n">
        <f aca="false">$B$8</f>
        <v>119766.108776316</v>
      </c>
      <c r="E65" s="77" t="n">
        <f aca="false">D65-F65</f>
        <v>101216.681918599</v>
      </c>
      <c r="F65" s="77" t="n">
        <f aca="false">C65*$B$6</f>
        <v>18549.4268577173</v>
      </c>
      <c r="G65" s="77" t="n">
        <f aca="false">C65-E65</f>
        <v>3196459.2038978</v>
      </c>
    </row>
    <row r="66" customFormat="false" ht="15" hidden="false" customHeight="true" outlineLevel="0" collapsed="false">
      <c r="A66" s="78" t="n">
        <f aca="false">A65+1</f>
        <v>56</v>
      </c>
      <c r="B66" s="79" t="n">
        <f aca="false">EDATE(B65,1)</f>
        <v>47543</v>
      </c>
      <c r="C66" s="80" t="n">
        <f aca="false">G65</f>
        <v>3196459.2038978</v>
      </c>
      <c r="D66" s="80" t="n">
        <f aca="false">$B$8</f>
        <v>119766.108776316</v>
      </c>
      <c r="E66" s="80" t="n">
        <f aca="false">D66-F66</f>
        <v>101786.025754391</v>
      </c>
      <c r="F66" s="80" t="n">
        <f aca="false">C66*$B$6</f>
        <v>17980.0830219252</v>
      </c>
      <c r="G66" s="80" t="n">
        <f aca="false">C66-E66</f>
        <v>3094673.17814341</v>
      </c>
    </row>
    <row r="67" customFormat="false" ht="15" hidden="false" customHeight="true" outlineLevel="0" collapsed="false">
      <c r="A67" s="75" t="n">
        <f aca="false">A66+1</f>
        <v>57</v>
      </c>
      <c r="B67" s="76" t="n">
        <f aca="false">EDATE(B66,1)</f>
        <v>47574</v>
      </c>
      <c r="C67" s="77" t="n">
        <f aca="false">G66</f>
        <v>3094673.17814341</v>
      </c>
      <c r="D67" s="77" t="n">
        <f aca="false">$B$8</f>
        <v>119766.108776316</v>
      </c>
      <c r="E67" s="77" t="n">
        <f aca="false">D67-F67</f>
        <v>102358.57214926</v>
      </c>
      <c r="F67" s="77" t="n">
        <f aca="false">C67*$B$6</f>
        <v>17407.5366270567</v>
      </c>
      <c r="G67" s="77" t="n">
        <f aca="false">C67-E67</f>
        <v>2992314.60599415</v>
      </c>
    </row>
    <row r="68" customFormat="false" ht="15" hidden="false" customHeight="true" outlineLevel="0" collapsed="false">
      <c r="A68" s="78" t="n">
        <f aca="false">A67+1</f>
        <v>58</v>
      </c>
      <c r="B68" s="79" t="n">
        <f aca="false">EDATE(B67,1)</f>
        <v>47604</v>
      </c>
      <c r="C68" s="80" t="n">
        <f aca="false">G67</f>
        <v>2992314.60599415</v>
      </c>
      <c r="D68" s="80" t="n">
        <f aca="false">$B$8</f>
        <v>119766.108776316</v>
      </c>
      <c r="E68" s="80" t="n">
        <f aca="false">D68-F68</f>
        <v>102934.339117599</v>
      </c>
      <c r="F68" s="80" t="n">
        <f aca="false">C68*$B$6</f>
        <v>16831.7696587171</v>
      </c>
      <c r="G68" s="80" t="n">
        <f aca="false">C68-E68</f>
        <v>2889380.26687655</v>
      </c>
    </row>
    <row r="69" customFormat="false" ht="15" hidden="false" customHeight="true" outlineLevel="0" collapsed="false">
      <c r="A69" s="75" t="n">
        <f aca="false">A68+1</f>
        <v>59</v>
      </c>
      <c r="B69" s="76" t="n">
        <f aca="false">EDATE(B68,1)</f>
        <v>47635</v>
      </c>
      <c r="C69" s="77" t="n">
        <f aca="false">G68</f>
        <v>2889380.26687655</v>
      </c>
      <c r="D69" s="77" t="n">
        <f aca="false">$B$8</f>
        <v>119766.108776316</v>
      </c>
      <c r="E69" s="77" t="n">
        <f aca="false">D69-F69</f>
        <v>103513.344775136</v>
      </c>
      <c r="F69" s="77" t="n">
        <f aca="false">C69*$B$6</f>
        <v>16252.7640011806</v>
      </c>
      <c r="G69" s="77" t="n">
        <f aca="false">C69-E69</f>
        <v>2785866.92210142</v>
      </c>
    </row>
    <row r="70" customFormat="false" ht="15" hidden="false" customHeight="true" outlineLevel="0" collapsed="false">
      <c r="A70" s="78" t="n">
        <f aca="false">A69+1</f>
        <v>60</v>
      </c>
      <c r="B70" s="79" t="n">
        <f aca="false">EDATE(B69,1)</f>
        <v>47665</v>
      </c>
      <c r="C70" s="80" t="n">
        <f aca="false">G69</f>
        <v>2785866.92210142</v>
      </c>
      <c r="D70" s="80" t="n">
        <f aca="false">$B$8</f>
        <v>119766.108776316</v>
      </c>
      <c r="E70" s="80" t="n">
        <f aca="false">D70-F70</f>
        <v>104095.607339496</v>
      </c>
      <c r="F70" s="80" t="n">
        <f aca="false">C70*$B$6</f>
        <v>15670.5014368205</v>
      </c>
      <c r="G70" s="80" t="n">
        <f aca="false">C70-E70</f>
        <v>2681771.31476192</v>
      </c>
    </row>
    <row r="71" customFormat="false" ht="15" hidden="false" customHeight="true" outlineLevel="0" collapsed="false">
      <c r="A71" s="75" t="n">
        <f aca="false">A70+1</f>
        <v>61</v>
      </c>
      <c r="B71" s="76" t="n">
        <f aca="false">EDATE(B70,1)</f>
        <v>47696</v>
      </c>
      <c r="C71" s="77" t="n">
        <f aca="false">G70</f>
        <v>2681771.31476192</v>
      </c>
      <c r="D71" s="77" t="n">
        <f aca="false">$B$8</f>
        <v>119766.108776316</v>
      </c>
      <c r="E71" s="77" t="n">
        <f aca="false">D71-F71</f>
        <v>104681.145130781</v>
      </c>
      <c r="F71" s="77" t="n">
        <f aca="false">C71*$B$6</f>
        <v>15084.9636455358</v>
      </c>
      <c r="G71" s="77" t="n">
        <f aca="false">C71-E71</f>
        <v>2577090.16963114</v>
      </c>
    </row>
    <row r="72" customFormat="false" ht="15" hidden="false" customHeight="true" outlineLevel="0" collapsed="false">
      <c r="A72" s="78" t="n">
        <f aca="false">A71+1</f>
        <v>62</v>
      </c>
      <c r="B72" s="79" t="n">
        <f aca="false">EDATE(B71,1)</f>
        <v>47727</v>
      </c>
      <c r="C72" s="80" t="n">
        <f aca="false">G71</f>
        <v>2577090.16963114</v>
      </c>
      <c r="D72" s="80" t="n">
        <f aca="false">$B$8</f>
        <v>119766.108776316</v>
      </c>
      <c r="E72" s="80" t="n">
        <f aca="false">D72-F72</f>
        <v>105269.976572141</v>
      </c>
      <c r="F72" s="80" t="n">
        <f aca="false">C72*$B$6</f>
        <v>14496.1322041752</v>
      </c>
      <c r="G72" s="80" t="n">
        <f aca="false">C72-E72</f>
        <v>2471820.193059</v>
      </c>
    </row>
    <row r="73" customFormat="false" ht="15" hidden="false" customHeight="true" outlineLevel="0" collapsed="false">
      <c r="A73" s="75" t="n">
        <f aca="false">A72+1</f>
        <v>63</v>
      </c>
      <c r="B73" s="76" t="n">
        <f aca="false">EDATE(B72,1)</f>
        <v>47757</v>
      </c>
      <c r="C73" s="77" t="n">
        <f aca="false">G72</f>
        <v>2471820.193059</v>
      </c>
      <c r="D73" s="77" t="n">
        <f aca="false">$B$8</f>
        <v>119766.108776316</v>
      </c>
      <c r="E73" s="77" t="n">
        <f aca="false">D73-F73</f>
        <v>105862.120190359</v>
      </c>
      <c r="F73" s="77" t="n">
        <f aca="false">C73*$B$6</f>
        <v>13903.9885859569</v>
      </c>
      <c r="G73" s="77" t="n">
        <f aca="false">C73-E73</f>
        <v>2365958.07286864</v>
      </c>
    </row>
    <row r="74" customFormat="false" ht="15" hidden="false" customHeight="true" outlineLevel="0" collapsed="false">
      <c r="A74" s="78" t="n">
        <f aca="false">A73+1</f>
        <v>64</v>
      </c>
      <c r="B74" s="79" t="n">
        <f aca="false">EDATE(B73,1)</f>
        <v>47788</v>
      </c>
      <c r="C74" s="80" t="n">
        <f aca="false">G73</f>
        <v>2365958.07286864</v>
      </c>
      <c r="D74" s="80" t="n">
        <f aca="false">$B$8</f>
        <v>119766.108776316</v>
      </c>
      <c r="E74" s="80" t="n">
        <f aca="false">D74-F74</f>
        <v>106457.59461643</v>
      </c>
      <c r="F74" s="80" t="n">
        <f aca="false">C74*$B$6</f>
        <v>13308.5141598861</v>
      </c>
      <c r="G74" s="80" t="n">
        <f aca="false">C74-E74</f>
        <v>2259500.47825221</v>
      </c>
    </row>
    <row r="75" customFormat="false" ht="15" hidden="false" customHeight="true" outlineLevel="0" collapsed="false">
      <c r="A75" s="75" t="n">
        <f aca="false">A74+1</f>
        <v>65</v>
      </c>
      <c r="B75" s="76" t="n">
        <f aca="false">EDATE(B74,1)</f>
        <v>47818</v>
      </c>
      <c r="C75" s="77" t="n">
        <f aca="false">G74</f>
        <v>2259500.47825221</v>
      </c>
      <c r="D75" s="77" t="n">
        <f aca="false">$B$8</f>
        <v>119766.108776316</v>
      </c>
      <c r="E75" s="77" t="n">
        <f aca="false">D75-F75</f>
        <v>107056.418586148</v>
      </c>
      <c r="F75" s="77" t="n">
        <f aca="false">C75*$B$6</f>
        <v>12709.6901901687</v>
      </c>
      <c r="G75" s="77" t="n">
        <f aca="false">C75-E75</f>
        <v>2152444.05966606</v>
      </c>
    </row>
    <row r="76" customFormat="false" ht="15" hidden="false" customHeight="true" outlineLevel="0" collapsed="false">
      <c r="A76" s="78" t="n">
        <f aca="false">A75+1</f>
        <v>66</v>
      </c>
      <c r="B76" s="79" t="n">
        <f aca="false">EDATE(B75,1)</f>
        <v>47849</v>
      </c>
      <c r="C76" s="80" t="n">
        <f aca="false">G75</f>
        <v>2152444.05966606</v>
      </c>
      <c r="D76" s="80" t="n">
        <f aca="false">$B$8</f>
        <v>119766.108776316</v>
      </c>
      <c r="E76" s="80" t="n">
        <f aca="false">D76-F76</f>
        <v>107658.610940695</v>
      </c>
      <c r="F76" s="80" t="n">
        <f aca="false">C76*$B$6</f>
        <v>12107.4978356216</v>
      </c>
      <c r="G76" s="80" t="n">
        <f aca="false">C76-E76</f>
        <v>2044785.44872537</v>
      </c>
    </row>
    <row r="77" customFormat="false" ht="15" hidden="false" customHeight="true" outlineLevel="0" collapsed="false">
      <c r="A77" s="75" t="n">
        <f aca="false">A76+1</f>
        <v>67</v>
      </c>
      <c r="B77" s="76" t="n">
        <f aca="false">EDATE(B76,1)</f>
        <v>47880</v>
      </c>
      <c r="C77" s="77" t="n">
        <f aca="false">G76</f>
        <v>2044785.44872537</v>
      </c>
      <c r="D77" s="77" t="n">
        <f aca="false">$B$8</f>
        <v>119766.108776316</v>
      </c>
      <c r="E77" s="77" t="n">
        <f aca="false">D77-F77</f>
        <v>108264.190627236</v>
      </c>
      <c r="F77" s="77" t="n">
        <f aca="false">C77*$B$6</f>
        <v>11501.9181490802</v>
      </c>
      <c r="G77" s="77" t="n">
        <f aca="false">C77-E77</f>
        <v>1936521.25809813</v>
      </c>
    </row>
    <row r="78" customFormat="false" ht="15" hidden="false" customHeight="true" outlineLevel="0" collapsed="false">
      <c r="A78" s="78" t="n">
        <f aca="false">A77+1</f>
        <v>68</v>
      </c>
      <c r="B78" s="79" t="n">
        <f aca="false">EDATE(B77,1)</f>
        <v>47908</v>
      </c>
      <c r="C78" s="80" t="n">
        <f aca="false">G77</f>
        <v>1936521.25809813</v>
      </c>
      <c r="D78" s="80" t="n">
        <f aca="false">$B$8</f>
        <v>119766.108776316</v>
      </c>
      <c r="E78" s="80" t="n">
        <f aca="false">D78-F78</f>
        <v>108873.176699514</v>
      </c>
      <c r="F78" s="80" t="n">
        <f aca="false">C78*$B$6</f>
        <v>10892.932076802</v>
      </c>
      <c r="G78" s="80" t="n">
        <f aca="false">C78-E78</f>
        <v>1827648.08139862</v>
      </c>
    </row>
    <row r="79" customFormat="false" ht="15" hidden="false" customHeight="true" outlineLevel="0" collapsed="false">
      <c r="A79" s="75" t="n">
        <f aca="false">A78+1</f>
        <v>69</v>
      </c>
      <c r="B79" s="76" t="n">
        <f aca="false">EDATE(B78,1)</f>
        <v>47939</v>
      </c>
      <c r="C79" s="77" t="n">
        <f aca="false">G78</f>
        <v>1827648.08139862</v>
      </c>
      <c r="D79" s="77" t="n">
        <f aca="false">$B$8</f>
        <v>119766.108776316</v>
      </c>
      <c r="E79" s="77" t="n">
        <f aca="false">D79-F79</f>
        <v>109485.588318449</v>
      </c>
      <c r="F79" s="77" t="n">
        <f aca="false">C79*$B$6</f>
        <v>10280.5204578672</v>
      </c>
      <c r="G79" s="77" t="n">
        <f aca="false">C79-E79</f>
        <v>1718162.49308017</v>
      </c>
    </row>
    <row r="80" customFormat="false" ht="15" hidden="false" customHeight="true" outlineLevel="0" collapsed="false">
      <c r="A80" s="78" t="n">
        <f aca="false">A79+1</f>
        <v>70</v>
      </c>
      <c r="B80" s="79" t="n">
        <f aca="false">EDATE(B79,1)</f>
        <v>47969</v>
      </c>
      <c r="C80" s="80" t="n">
        <f aca="false">G79</f>
        <v>1718162.49308017</v>
      </c>
      <c r="D80" s="80" t="n">
        <f aca="false">$B$8</f>
        <v>119766.108776316</v>
      </c>
      <c r="E80" s="80" t="n">
        <f aca="false">D80-F80</f>
        <v>110101.44475274</v>
      </c>
      <c r="F80" s="80" t="n">
        <f aca="false">C80*$B$6</f>
        <v>9664.66402357596</v>
      </c>
      <c r="G80" s="80" t="n">
        <f aca="false">C80-E80</f>
        <v>1608061.04832743</v>
      </c>
    </row>
    <row r="81" customFormat="false" ht="15" hidden="false" customHeight="true" outlineLevel="0" collapsed="false">
      <c r="A81" s="75" t="n">
        <f aca="false">A80+1</f>
        <v>71</v>
      </c>
      <c r="B81" s="76" t="n">
        <f aca="false">EDATE(B80,1)</f>
        <v>48000</v>
      </c>
      <c r="C81" s="77" t="n">
        <f aca="false">G80</f>
        <v>1608061.04832743</v>
      </c>
      <c r="D81" s="77" t="n">
        <f aca="false">$B$8</f>
        <v>119766.108776316</v>
      </c>
      <c r="E81" s="77" t="n">
        <f aca="false">D81-F81</f>
        <v>110720.765379475</v>
      </c>
      <c r="F81" s="77" t="n">
        <f aca="false">C81*$B$6</f>
        <v>9045.34339684179</v>
      </c>
      <c r="G81" s="77" t="n">
        <f aca="false">C81-E81</f>
        <v>1497340.28294795</v>
      </c>
    </row>
    <row r="82" customFormat="false" ht="15" hidden="false" customHeight="true" outlineLevel="0" collapsed="false">
      <c r="A82" s="78" t="n">
        <f aca="false">A81+1</f>
        <v>72</v>
      </c>
      <c r="B82" s="79" t="n">
        <f aca="false">EDATE(B81,1)</f>
        <v>48030</v>
      </c>
      <c r="C82" s="80" t="n">
        <f aca="false">G81</f>
        <v>1497340.28294795</v>
      </c>
      <c r="D82" s="80" t="n">
        <f aca="false">$B$8</f>
        <v>119766.108776316</v>
      </c>
      <c r="E82" s="80" t="n">
        <f aca="false">D82-F82</f>
        <v>111343.569684734</v>
      </c>
      <c r="F82" s="80" t="n">
        <f aca="false">C82*$B$6</f>
        <v>8422.53909158225</v>
      </c>
      <c r="G82" s="80" t="n">
        <f aca="false">C82-E82</f>
        <v>1385996.71326322</v>
      </c>
    </row>
    <row r="83" customFormat="false" ht="15" hidden="false" customHeight="true" outlineLevel="0" collapsed="false">
      <c r="A83" s="75" t="n">
        <f aca="false">A82+1</f>
        <v>73</v>
      </c>
      <c r="B83" s="76" t="n">
        <f aca="false">EDATE(B82,1)</f>
        <v>48061</v>
      </c>
      <c r="C83" s="77" t="n">
        <f aca="false">G82</f>
        <v>1385996.71326322</v>
      </c>
      <c r="D83" s="77" t="n">
        <f aca="false">$B$8</f>
        <v>119766.108776316</v>
      </c>
      <c r="E83" s="77" t="n">
        <f aca="false">D83-F83</f>
        <v>111969.877264211</v>
      </c>
      <c r="F83" s="77" t="n">
        <f aca="false">C83*$B$6</f>
        <v>7796.23151210562</v>
      </c>
      <c r="G83" s="77" t="n">
        <f aca="false">C83-E83</f>
        <v>1274026.83599901</v>
      </c>
    </row>
    <row r="84" customFormat="false" ht="15" hidden="false" customHeight="true" outlineLevel="0" collapsed="false">
      <c r="A84" s="78" t="n">
        <f aca="false">A83+1</f>
        <v>74</v>
      </c>
      <c r="B84" s="79" t="n">
        <f aca="false">EDATE(B83,1)</f>
        <v>48092</v>
      </c>
      <c r="C84" s="80" t="n">
        <f aca="false">G83</f>
        <v>1274026.83599901</v>
      </c>
      <c r="D84" s="80" t="n">
        <f aca="false">$B$8</f>
        <v>119766.108776316</v>
      </c>
      <c r="E84" s="80" t="n">
        <f aca="false">D84-F84</f>
        <v>112599.707823822</v>
      </c>
      <c r="F84" s="80" t="n">
        <f aca="false">C84*$B$6</f>
        <v>7166.40095249443</v>
      </c>
      <c r="G84" s="80" t="n">
        <f aca="false">C84-E84</f>
        <v>1161427.12817519</v>
      </c>
    </row>
    <row r="85" customFormat="false" ht="15" hidden="false" customHeight="true" outlineLevel="0" collapsed="false">
      <c r="A85" s="75" t="n">
        <f aca="false">A84+1</f>
        <v>75</v>
      </c>
      <c r="B85" s="76" t="n">
        <f aca="false">EDATE(B84,1)</f>
        <v>48122</v>
      </c>
      <c r="C85" s="77" t="n">
        <f aca="false">G84</f>
        <v>1161427.12817519</v>
      </c>
      <c r="D85" s="77" t="n">
        <f aca="false">$B$8</f>
        <v>119766.108776316</v>
      </c>
      <c r="E85" s="77" t="n">
        <f aca="false">D85-F85</f>
        <v>113233.081180331</v>
      </c>
      <c r="F85" s="77" t="n">
        <f aca="false">C85*$B$6</f>
        <v>6533.02759598543</v>
      </c>
      <c r="G85" s="77" t="n">
        <f aca="false">C85-E85</f>
        <v>1048194.04699486</v>
      </c>
    </row>
    <row r="86" customFormat="false" ht="15" hidden="false" customHeight="true" outlineLevel="0" collapsed="false">
      <c r="A86" s="78" t="n">
        <f aca="false">A85+1</f>
        <v>76</v>
      </c>
      <c r="B86" s="79" t="n">
        <f aca="false">EDATE(B85,1)</f>
        <v>48153</v>
      </c>
      <c r="C86" s="80" t="n">
        <f aca="false">G85</f>
        <v>1048194.04699486</v>
      </c>
      <c r="D86" s="80" t="n">
        <f aca="false">$B$8</f>
        <v>119766.108776316</v>
      </c>
      <c r="E86" s="80" t="n">
        <f aca="false">D86-F86</f>
        <v>113870.01726197</v>
      </c>
      <c r="F86" s="80" t="n">
        <f aca="false">C86*$B$6</f>
        <v>5896.09151434607</v>
      </c>
      <c r="G86" s="80" t="n">
        <f aca="false">C86-E86</f>
        <v>934324.029732887</v>
      </c>
    </row>
    <row r="87" customFormat="false" ht="15" hidden="false" customHeight="true" outlineLevel="0" collapsed="false">
      <c r="A87" s="75" t="n">
        <f aca="false">A86+1</f>
        <v>77</v>
      </c>
      <c r="B87" s="76" t="n">
        <f aca="false">EDATE(B86,1)</f>
        <v>48183</v>
      </c>
      <c r="C87" s="77" t="n">
        <f aca="false">G86</f>
        <v>934324.029732887</v>
      </c>
      <c r="D87" s="77" t="n">
        <f aca="false">$B$8</f>
        <v>119766.108776316</v>
      </c>
      <c r="E87" s="77" t="n">
        <f aca="false">D87-F87</f>
        <v>114510.536109069</v>
      </c>
      <c r="F87" s="77" t="n">
        <f aca="false">C87*$B$6</f>
        <v>5255.57266724749</v>
      </c>
      <c r="G87" s="77" t="n">
        <f aca="false">C87-E87</f>
        <v>819813.493623818</v>
      </c>
    </row>
    <row r="88" customFormat="false" ht="15" hidden="false" customHeight="true" outlineLevel="0" collapsed="false">
      <c r="A88" s="78" t="n">
        <f aca="false">A87+1</f>
        <v>78</v>
      </c>
      <c r="B88" s="79" t="n">
        <f aca="false">EDATE(B87,1)</f>
        <v>48214</v>
      </c>
      <c r="C88" s="80" t="n">
        <f aca="false">G87</f>
        <v>819813.493623818</v>
      </c>
      <c r="D88" s="80" t="n">
        <f aca="false">$B$8</f>
        <v>119766.108776316</v>
      </c>
      <c r="E88" s="80" t="n">
        <f aca="false">D88-F88</f>
        <v>115154.657874682</v>
      </c>
      <c r="F88" s="80" t="n">
        <f aca="false">C88*$B$6</f>
        <v>4611.45090163398</v>
      </c>
      <c r="G88" s="80" t="n">
        <f aca="false">C88-E88</f>
        <v>704658.835749135</v>
      </c>
    </row>
    <row r="89" customFormat="false" ht="15" hidden="false" customHeight="true" outlineLevel="0" collapsed="false">
      <c r="A89" s="75" t="n">
        <f aca="false">A88+1</f>
        <v>79</v>
      </c>
      <c r="B89" s="76" t="n">
        <f aca="false">EDATE(B88,1)</f>
        <v>48245</v>
      </c>
      <c r="C89" s="77" t="n">
        <f aca="false">G88</f>
        <v>704658.835749135</v>
      </c>
      <c r="D89" s="77" t="n">
        <f aca="false">$B$8</f>
        <v>119766.108776316</v>
      </c>
      <c r="E89" s="77" t="n">
        <f aca="false">D89-F89</f>
        <v>115802.402825227</v>
      </c>
      <c r="F89" s="77" t="n">
        <f aca="false">C89*$B$6</f>
        <v>3963.70595108889</v>
      </c>
      <c r="G89" s="77" t="n">
        <f aca="false">C89-E89</f>
        <v>588856.432923908</v>
      </c>
    </row>
    <row r="90" customFormat="false" ht="15" hidden="false" customHeight="true" outlineLevel="0" collapsed="false">
      <c r="A90" s="78" t="n">
        <f aca="false">A89+1</f>
        <v>80</v>
      </c>
      <c r="B90" s="79" t="n">
        <f aca="false">EDATE(B89,1)</f>
        <v>48274</v>
      </c>
      <c r="C90" s="80" t="n">
        <f aca="false">G89</f>
        <v>588856.432923908</v>
      </c>
      <c r="D90" s="80" t="n">
        <f aca="false">$B$8</f>
        <v>119766.108776316</v>
      </c>
      <c r="E90" s="80" t="n">
        <f aca="false">D90-F90</f>
        <v>116453.791341119</v>
      </c>
      <c r="F90" s="80" t="n">
        <f aca="false">C90*$B$6</f>
        <v>3312.31743519698</v>
      </c>
      <c r="G90" s="80" t="n">
        <f aca="false">C90-E90</f>
        <v>472402.641582789</v>
      </c>
    </row>
    <row r="91" customFormat="false" ht="15" hidden="false" customHeight="true" outlineLevel="0" collapsed="false">
      <c r="A91" s="75" t="n">
        <f aca="false">A90+1</f>
        <v>81</v>
      </c>
      <c r="B91" s="76" t="n">
        <f aca="false">EDATE(B90,1)</f>
        <v>48305</v>
      </c>
      <c r="C91" s="77" t="n">
        <f aca="false">G90</f>
        <v>472402.641582789</v>
      </c>
      <c r="D91" s="77" t="n">
        <f aca="false">$B$8</f>
        <v>119766.108776316</v>
      </c>
      <c r="E91" s="77" t="n">
        <f aca="false">D91-F91</f>
        <v>117108.843917413</v>
      </c>
      <c r="F91" s="77" t="n">
        <f aca="false">C91*$B$6</f>
        <v>2657.26485890319</v>
      </c>
      <c r="G91" s="77" t="n">
        <f aca="false">C91-E91</f>
        <v>355293.797665375</v>
      </c>
    </row>
    <row r="92" customFormat="false" ht="15" hidden="false" customHeight="true" outlineLevel="0" collapsed="false">
      <c r="A92" s="78" t="n">
        <f aca="false">A91+1</f>
        <v>82</v>
      </c>
      <c r="B92" s="79" t="n">
        <f aca="false">EDATE(B91,1)</f>
        <v>48335</v>
      </c>
      <c r="C92" s="80" t="n">
        <f aca="false">G91</f>
        <v>355293.797665375</v>
      </c>
      <c r="D92" s="80" t="n">
        <f aca="false">$B$8</f>
        <v>119766.108776316</v>
      </c>
      <c r="E92" s="80" t="n">
        <f aca="false">D92-F92</f>
        <v>117767.581164449</v>
      </c>
      <c r="F92" s="80" t="n">
        <f aca="false">C92*$B$6</f>
        <v>1998.52761186774</v>
      </c>
      <c r="G92" s="80" t="n">
        <f aca="false">C92-E92</f>
        <v>237526.216500927</v>
      </c>
    </row>
    <row r="93" customFormat="false" ht="15" hidden="false" customHeight="true" outlineLevel="0" collapsed="false">
      <c r="A93" s="75" t="n">
        <f aca="false">A92+1</f>
        <v>83</v>
      </c>
      <c r="B93" s="76" t="n">
        <f aca="false">EDATE(B92,1)</f>
        <v>48366</v>
      </c>
      <c r="C93" s="77" t="n">
        <f aca="false">G92</f>
        <v>237526.216500927</v>
      </c>
      <c r="D93" s="77" t="n">
        <f aca="false">$B$8</f>
        <v>119766.108776316</v>
      </c>
      <c r="E93" s="77" t="n">
        <f aca="false">D93-F93</f>
        <v>118430.023808499</v>
      </c>
      <c r="F93" s="77" t="n">
        <f aca="false">C93*$B$6</f>
        <v>1336.08496781771</v>
      </c>
      <c r="G93" s="77" t="n">
        <f aca="false">C93-E93</f>
        <v>119096.192692428</v>
      </c>
    </row>
    <row r="94" customFormat="false" ht="15" hidden="false" customHeight="true" outlineLevel="0" collapsed="false">
      <c r="A94" s="78" t="n">
        <f aca="false">A93+1</f>
        <v>84</v>
      </c>
      <c r="B94" s="79" t="n">
        <f aca="false">EDATE(B93,1)</f>
        <v>48396</v>
      </c>
      <c r="C94" s="80" t="n">
        <f aca="false">G93</f>
        <v>119096.192692428</v>
      </c>
      <c r="D94" s="80" t="n">
        <f aca="false">$B$8</f>
        <v>119766.108776316</v>
      </c>
      <c r="E94" s="80" t="n">
        <f aca="false">D94-F94</f>
        <v>119096.192692421</v>
      </c>
      <c r="F94" s="80" t="n">
        <f aca="false">C94*$B$6</f>
        <v>669.916083894908</v>
      </c>
      <c r="G94" s="80" t="n">
        <f aca="false">C94-E94</f>
        <v>6.53380993753672E-009</v>
      </c>
    </row>
    <row r="95" customFormat="false" ht="15" hidden="false" customHeight="true" outlineLevel="0" collapsed="false">
      <c r="A95" s="61" t="s">
        <v>187</v>
      </c>
      <c r="B95" s="81"/>
      <c r="C95" s="81"/>
      <c r="D95" s="82" t="n">
        <f aca="false">SUM(D11:D94)</f>
        <v>10060353.1372106</v>
      </c>
      <c r="E95" s="82" t="n">
        <f aca="false">SUM(E11:E94)</f>
        <v>8000000</v>
      </c>
      <c r="F95" s="82" t="n">
        <f aca="false">SUM(F11:F94)</f>
        <v>2060353.13721058</v>
      </c>
      <c r="G95" s="81"/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2" t="s">
        <v>188</v>
      </c>
      <c r="B1" s="2"/>
      <c r="C1" s="2"/>
      <c r="D1" s="2"/>
      <c r="E1" s="2"/>
      <c r="F1" s="2"/>
    </row>
    <row r="2" customFormat="false" ht="7.5" hidden="false" customHeight="true" outlineLevel="0" collapsed="false"/>
    <row r="3" customFormat="false" ht="15" hidden="false" customHeight="true" outlineLevel="0" collapsed="false">
      <c r="A3" s="46" t="s">
        <v>189</v>
      </c>
      <c r="B3" s="46"/>
      <c r="C3" s="46"/>
      <c r="D3" s="46"/>
      <c r="E3" s="46"/>
      <c r="F3" s="46"/>
    </row>
    <row r="4" customFormat="false" ht="15" hidden="false" customHeight="true" outlineLevel="0" collapsed="false">
      <c r="A4" s="13" t="s">
        <v>190</v>
      </c>
      <c r="B4" s="70" t="n">
        <f aca="false">Financial_Statements!D6</f>
        <v>27500000</v>
      </c>
      <c r="C4" s="17"/>
      <c r="D4" s="17"/>
      <c r="E4" s="17"/>
      <c r="F4" s="17"/>
    </row>
    <row r="5" customFormat="false" ht="15" hidden="false" customHeight="true" outlineLevel="0" collapsed="false">
      <c r="A5" s="13" t="s">
        <v>191</v>
      </c>
      <c r="B5" s="71" t="n">
        <f aca="false">Financial_Statements!D16/Financial_Statements!D6</f>
        <v>0.19</v>
      </c>
      <c r="C5" s="17"/>
      <c r="D5" s="17"/>
      <c r="E5" s="17"/>
      <c r="F5" s="17"/>
    </row>
    <row r="6" customFormat="false" ht="15" hidden="false" customHeight="true" outlineLevel="0" collapsed="false">
      <c r="A6" s="13" t="s">
        <v>192</v>
      </c>
      <c r="B6" s="70" t="n">
        <f aca="false">Financial_Statements!D10</f>
        <v>1200000</v>
      </c>
      <c r="C6" s="17"/>
      <c r="D6" s="17"/>
      <c r="E6" s="17"/>
      <c r="F6" s="17"/>
    </row>
    <row r="7" customFormat="false" ht="15" hidden="false" customHeight="true" outlineLevel="0" collapsed="false">
      <c r="A7" s="13" t="s">
        <v>193</v>
      </c>
      <c r="B7" s="74" t="n">
        <f aca="false">Loan_Structure!B10</f>
        <v>1437193.3053158</v>
      </c>
      <c r="C7" s="17"/>
      <c r="D7" s="17"/>
      <c r="E7" s="17"/>
      <c r="F7" s="17"/>
    </row>
    <row r="8" customFormat="false" ht="15" hidden="false" customHeight="true" outlineLevel="0" collapsed="false">
      <c r="A8" s="13" t="s">
        <v>194</v>
      </c>
      <c r="B8" s="83" t="n">
        <f aca="false">Ratio_Analysis!E5</f>
        <v>1.34257889546351</v>
      </c>
      <c r="C8" s="17"/>
      <c r="D8" s="17"/>
      <c r="E8" s="17"/>
      <c r="F8" s="17"/>
    </row>
    <row r="9" customFormat="false" ht="7.5" hidden="false" customHeight="true" outlineLevel="0" collapsed="false"/>
    <row r="10" customFormat="false" ht="15" hidden="false" customHeight="true" outlineLevel="0" collapsed="false">
      <c r="A10" s="46" t="s">
        <v>195</v>
      </c>
      <c r="B10" s="46"/>
      <c r="C10" s="46"/>
      <c r="D10" s="46"/>
      <c r="E10" s="46"/>
      <c r="F10" s="46"/>
    </row>
    <row r="11" customFormat="false" ht="15" hidden="false" customHeight="true" outlineLevel="0" collapsed="false">
      <c r="A11" s="5" t="s">
        <v>196</v>
      </c>
      <c r="B11" s="5" t="s">
        <v>197</v>
      </c>
      <c r="C11" s="5" t="s">
        <v>198</v>
      </c>
      <c r="D11" s="5" t="s">
        <v>199</v>
      </c>
      <c r="E11" s="5" t="s">
        <v>200</v>
      </c>
      <c r="F11" s="5" t="s">
        <v>201</v>
      </c>
    </row>
    <row r="12" customFormat="false" ht="15" hidden="false" customHeight="true" outlineLevel="0" collapsed="false">
      <c r="A12" s="13" t="s">
        <v>202</v>
      </c>
      <c r="B12" s="23" t="n">
        <f aca="false">(($B$4*(1-0))*0.1-$B$6)/$B$7</f>
        <v>1.07849096865882</v>
      </c>
      <c r="C12" s="23" t="n">
        <f aca="false">(($B$4*(1-0))*0.12-$B$6)/$B$7</f>
        <v>1.46118131237646</v>
      </c>
      <c r="D12" s="23" t="n">
        <f aca="false">(($B$4*(1-0))*0.14-$B$6)/$B$7</f>
        <v>1.84387165609411</v>
      </c>
      <c r="E12" s="23" t="n">
        <f aca="false">(($B$4*(1-0))*0.16-$B$6)/$B$7</f>
        <v>2.22656199981175</v>
      </c>
      <c r="F12" s="23" t="n">
        <f aca="false">(($B$4*(1-0))*0.18-$B$6)/$B$7</f>
        <v>2.6092523435294</v>
      </c>
    </row>
    <row r="13" customFormat="false" ht="15" hidden="false" customHeight="true" outlineLevel="0" collapsed="false">
      <c r="A13" s="13" t="s">
        <v>203</v>
      </c>
      <c r="B13" s="23" t="n">
        <f aca="false">(($B$4*(1-0.05))*0.1-$B$6)/$B$7</f>
        <v>0.982818382729406</v>
      </c>
      <c r="C13" s="23" t="n">
        <f aca="false">(($B$4*(1-0.05))*0.12-$B$6)/$B$7</f>
        <v>1.34637420926117</v>
      </c>
      <c r="D13" s="23" t="n">
        <f aca="false">(($B$4*(1-0.05))*0.14-$B$6)/$B$7</f>
        <v>1.70993003579293</v>
      </c>
      <c r="E13" s="23" t="n">
        <f aca="false">(($B$4*(1-0.05))*0.16-$B$6)/$B$7</f>
        <v>2.07348586232469</v>
      </c>
      <c r="F13" s="23" t="n">
        <f aca="false">(($B$4*(1-0.05))*0.18-$B$6)/$B$7</f>
        <v>2.43704168885646</v>
      </c>
    </row>
    <row r="14" customFormat="false" ht="15" hidden="false" customHeight="true" outlineLevel="0" collapsed="false">
      <c r="A14" s="13" t="s">
        <v>204</v>
      </c>
      <c r="B14" s="23" t="n">
        <f aca="false">(($B$4*(1-0.1))*0.1-$B$6)/$B$7</f>
        <v>0.887145796799995</v>
      </c>
      <c r="C14" s="23" t="n">
        <f aca="false">(($B$4*(1-0.1))*0.12-$B$6)/$B$7</f>
        <v>1.23156710614587</v>
      </c>
      <c r="D14" s="23" t="n">
        <f aca="false">(($B$4*(1-0.1))*0.14-$B$6)/$B$7</f>
        <v>1.57598841549176</v>
      </c>
      <c r="E14" s="23" t="n">
        <f aca="false">(($B$4*(1-0.1))*0.16-$B$6)/$B$7</f>
        <v>1.92040972483764</v>
      </c>
      <c r="F14" s="23" t="n">
        <f aca="false">(($B$4*(1-0.1))*0.18-$B$6)/$B$7</f>
        <v>2.26483103418352</v>
      </c>
    </row>
    <row r="15" customFormat="false" ht="15" hidden="false" customHeight="true" outlineLevel="0" collapsed="false">
      <c r="A15" s="13" t="s">
        <v>205</v>
      </c>
      <c r="B15" s="23" t="n">
        <f aca="false">(($B$4*(1-0.15))*0.1-$B$6)/$B$7</f>
        <v>0.791473210870583</v>
      </c>
      <c r="C15" s="23" t="n">
        <f aca="false">(($B$4*(1-0.15))*0.12-$B$6)/$B$7</f>
        <v>1.11676000303058</v>
      </c>
      <c r="D15" s="23" t="n">
        <f aca="false">(($B$4*(1-0.15))*0.14-$B$6)/$B$7</f>
        <v>1.44204679519058</v>
      </c>
      <c r="E15" s="23" t="n">
        <f aca="false">(($B$4*(1-0.15))*0.16-$B$6)/$B$7</f>
        <v>1.76733358735058</v>
      </c>
      <c r="F15" s="23" t="n">
        <f aca="false">(($B$4*(1-0.15))*0.18-$B$6)/$B$7</f>
        <v>2.09262037951058</v>
      </c>
    </row>
    <row r="16" customFormat="false" ht="15" hidden="false" customHeight="true" outlineLevel="0" collapsed="false">
      <c r="A16" s="13" t="s">
        <v>206</v>
      </c>
      <c r="B16" s="23" t="n">
        <f aca="false">(($B$4*(1-0.2))*0.1-$B$6)/$B$7</f>
        <v>0.695800624941172</v>
      </c>
      <c r="C16" s="23" t="n">
        <f aca="false">(($B$4*(1-0.2))*0.12-$B$6)/$B$7</f>
        <v>1.00195289991529</v>
      </c>
      <c r="D16" s="23" t="n">
        <f aca="false">(($B$4*(1-0.2))*0.14-$B$6)/$B$7</f>
        <v>1.3081051748894</v>
      </c>
      <c r="E16" s="23" t="n">
        <f aca="false">(($B$4*(1-0.2))*0.16-$B$6)/$B$7</f>
        <v>1.61425744986352</v>
      </c>
      <c r="F16" s="23" t="n">
        <f aca="false">(($B$4*(1-0.2))*0.18-$B$6)/$B$7</f>
        <v>1.92040972483764</v>
      </c>
    </row>
    <row r="17" customFormat="false" ht="15" hidden="false" customHeight="true" outlineLevel="0" collapsed="false">
      <c r="A17" s="13" t="s">
        <v>207</v>
      </c>
      <c r="B17" s="23" t="n">
        <f aca="false">(($B$4*(1-0.25))*0.1-$B$6)/$B$7</f>
        <v>0.600128039011761</v>
      </c>
      <c r="C17" s="23" t="n">
        <f aca="false">(($B$4*(1-0.25))*0.12-$B$6)/$B$7</f>
        <v>0.887145796799995</v>
      </c>
      <c r="D17" s="23" t="n">
        <f aca="false">(($B$4*(1-0.25))*0.14-$B$6)/$B$7</f>
        <v>1.17416355458823</v>
      </c>
      <c r="E17" s="23" t="n">
        <f aca="false">(($B$4*(1-0.25))*0.16-$B$6)/$B$7</f>
        <v>1.46118131237646</v>
      </c>
      <c r="F17" s="23" t="n">
        <f aca="false">(($B$4*(1-0.25))*0.18-$B$6)/$B$7</f>
        <v>1.7481990701647</v>
      </c>
    </row>
    <row r="19" customFormat="false" ht="21.75" hidden="false" customHeight="true" outlineLevel="0" collapsed="false">
      <c r="A19" s="84" t="s">
        <v>208</v>
      </c>
      <c r="B19" s="84"/>
      <c r="C19" s="84"/>
      <c r="D19" s="84"/>
      <c r="E19" s="84"/>
      <c r="F19" s="84"/>
    </row>
    <row r="21" customFormat="false" ht="15" hidden="false" customHeight="true" outlineLevel="0" collapsed="false">
      <c r="A21" s="46" t="s">
        <v>209</v>
      </c>
      <c r="B21" s="46"/>
      <c r="C21" s="46"/>
      <c r="D21" s="46"/>
      <c r="E21" s="46"/>
      <c r="F21" s="46"/>
    </row>
    <row r="22" customFormat="false" ht="15" hidden="false" customHeight="true" outlineLevel="0" collapsed="false">
      <c r="A22" s="85" t="s">
        <v>210</v>
      </c>
      <c r="B22" s="85"/>
      <c r="C22" s="86" t="s">
        <v>211</v>
      </c>
      <c r="D22" s="86"/>
      <c r="E22" s="86"/>
      <c r="F22" s="86"/>
    </row>
    <row r="23" customFormat="false" ht="15" hidden="false" customHeight="true" outlineLevel="0" collapsed="false">
      <c r="A23" s="87" t="s">
        <v>212</v>
      </c>
      <c r="B23" s="87"/>
      <c r="C23" s="86" t="s">
        <v>213</v>
      </c>
      <c r="D23" s="86"/>
      <c r="E23" s="86"/>
      <c r="F23" s="86"/>
    </row>
    <row r="24" customFormat="false" ht="15" hidden="false" customHeight="true" outlineLevel="0" collapsed="false">
      <c r="A24" s="88" t="s">
        <v>214</v>
      </c>
      <c r="B24" s="88"/>
      <c r="C24" s="86" t="s">
        <v>215</v>
      </c>
      <c r="D24" s="86"/>
      <c r="E24" s="86"/>
      <c r="F24" s="86"/>
    </row>
  </sheetData>
  <mergeCells count="11">
    <mergeCell ref="A1:F1"/>
    <mergeCell ref="A3:F3"/>
    <mergeCell ref="A10:F10"/>
    <mergeCell ref="A19:F19"/>
    <mergeCell ref="A21:F21"/>
    <mergeCell ref="A22:B22"/>
    <mergeCell ref="C22:F22"/>
    <mergeCell ref="A23:B23"/>
    <mergeCell ref="C23:F23"/>
    <mergeCell ref="A24:B24"/>
    <mergeCell ref="C24:F24"/>
  </mergeCells>
  <conditionalFormatting sqref="B12:F17">
    <cfRule type="cellIs" priority="2" operator="greaterThanOrEqual" aboveAverage="0" equalAverage="0" bottom="0" percent="0" rank="0" text="" dxfId="0">
      <formula>1.25</formula>
    </cfRule>
    <cfRule type="cellIs" priority="3" operator="between" aboveAverage="0" equalAverage="0" bottom="0" percent="0" rank="0" text="" dxfId="2">
      <formula>1.1</formula>
      <formula>1.2499</formula>
    </cfRule>
    <cfRule type="cellIs" priority="4" operator="lessThan" aboveAverage="0" equalAverage="0" bottom="0" percent="0" rank="0" text="" dxfId="5">
      <formula>1.1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28"/>
  </cols>
  <sheetData>
    <row r="1" customFormat="false" ht="30" hidden="false" customHeight="true" outlineLevel="0" collapsed="false">
      <c r="A1" s="89" t="s">
        <v>216</v>
      </c>
      <c r="B1" s="89"/>
      <c r="C1" s="89"/>
      <c r="D1" s="89"/>
    </row>
    <row r="2" customFormat="false" ht="15" hidden="false" customHeight="true" outlineLevel="0" collapsed="false">
      <c r="A2" s="90" t="s">
        <v>217</v>
      </c>
      <c r="B2" s="90"/>
      <c r="C2" s="90"/>
      <c r="D2" s="90"/>
    </row>
    <row r="3" customFormat="false" ht="15" hidden="false" customHeight="true" outlineLevel="0" collapsed="false">
      <c r="A3" s="91" t="s">
        <v>218</v>
      </c>
      <c r="B3" s="91"/>
      <c r="C3" s="91"/>
      <c r="D3" s="91"/>
    </row>
    <row r="4" customFormat="false" ht="7.5" hidden="false" customHeight="true" outlineLevel="0" collapsed="false"/>
    <row r="5" customFormat="false" ht="15" hidden="false" customHeight="true" outlineLevel="0" collapsed="false">
      <c r="A5" s="46" t="s">
        <v>219</v>
      </c>
      <c r="B5" s="46"/>
      <c r="C5" s="46"/>
      <c r="D5" s="46"/>
    </row>
    <row r="6" customFormat="false" ht="15" hidden="false" customHeight="true" outlineLevel="0" collapsed="false">
      <c r="A6" s="11" t="s">
        <v>220</v>
      </c>
      <c r="B6" s="49" t="s">
        <v>221</v>
      </c>
      <c r="C6" s="49"/>
      <c r="D6" s="49"/>
    </row>
    <row r="7" customFormat="false" ht="15" hidden="false" customHeight="true" outlineLevel="0" collapsed="false">
      <c r="A7" s="13" t="s">
        <v>222</v>
      </c>
      <c r="B7" s="48" t="s">
        <v>223</v>
      </c>
      <c r="C7" s="48"/>
      <c r="D7" s="48"/>
    </row>
    <row r="8" customFormat="false" ht="15" hidden="false" customHeight="true" outlineLevel="0" collapsed="false">
      <c r="A8" s="11" t="s">
        <v>224</v>
      </c>
      <c r="B8" s="49" t="s">
        <v>225</v>
      </c>
      <c r="C8" s="49"/>
      <c r="D8" s="49"/>
    </row>
    <row r="9" customFormat="false" ht="15" hidden="false" customHeight="true" outlineLevel="0" collapsed="false">
      <c r="A9" s="13" t="s">
        <v>226</v>
      </c>
      <c r="B9" s="48" t="s">
        <v>227</v>
      </c>
      <c r="C9" s="48"/>
      <c r="D9" s="48"/>
    </row>
    <row r="10" customFormat="false" ht="15" hidden="false" customHeight="true" outlineLevel="0" collapsed="false">
      <c r="A10" s="11" t="s">
        <v>228</v>
      </c>
      <c r="B10" s="92" t="n">
        <f aca="false">Financial_Statements!D6</f>
        <v>27500000</v>
      </c>
      <c r="C10" s="92"/>
      <c r="D10" s="92"/>
    </row>
    <row r="11" customFormat="false" ht="15" hidden="false" customHeight="true" outlineLevel="0" collapsed="false">
      <c r="A11" s="13" t="s">
        <v>229</v>
      </c>
      <c r="B11" s="48" t="s">
        <v>230</v>
      </c>
      <c r="C11" s="48"/>
      <c r="D11" s="48"/>
    </row>
    <row r="12" customFormat="false" ht="15" hidden="false" customHeight="true" outlineLevel="0" collapsed="false">
      <c r="A12" s="11" t="s">
        <v>231</v>
      </c>
      <c r="B12" s="49" t="s">
        <v>232</v>
      </c>
      <c r="C12" s="49"/>
      <c r="D12" s="49"/>
    </row>
    <row r="13" customFormat="false" ht="7.5" hidden="false" customHeight="true" outlineLevel="0" collapsed="false"/>
    <row r="14" customFormat="false" ht="15" hidden="false" customHeight="true" outlineLevel="0" collapsed="false">
      <c r="A14" s="46" t="s">
        <v>233</v>
      </c>
      <c r="B14" s="46"/>
      <c r="C14" s="46"/>
      <c r="D14" s="46"/>
    </row>
    <row r="15" customFormat="false" ht="15" hidden="false" customHeight="true" outlineLevel="0" collapsed="false">
      <c r="A15" s="5" t="s">
        <v>234</v>
      </c>
      <c r="B15" s="5" t="s">
        <v>235</v>
      </c>
      <c r="C15" s="5" t="s">
        <v>236</v>
      </c>
      <c r="D15" s="5" t="s">
        <v>68</v>
      </c>
    </row>
    <row r="16" customFormat="false" ht="15" hidden="false" customHeight="true" outlineLevel="0" collapsed="false">
      <c r="A16" s="11" t="s">
        <v>237</v>
      </c>
      <c r="B16" s="93" t="n">
        <f aca="false">Ratio_Analysis!E5</f>
        <v>1.34257889546351</v>
      </c>
      <c r="C16" s="30" t="s">
        <v>71</v>
      </c>
      <c r="D16" s="31" t="str">
        <f aca="false">Ratio_Analysis!H5</f>
        <v>Strong</v>
      </c>
    </row>
    <row r="17" customFormat="false" ht="15" hidden="false" customHeight="true" outlineLevel="0" collapsed="false">
      <c r="A17" s="13" t="s">
        <v>72</v>
      </c>
      <c r="B17" s="94" t="n">
        <f aca="false">Ratio_Analysis!E6</f>
        <v>1.91387559808612</v>
      </c>
      <c r="C17" s="25" t="s">
        <v>74</v>
      </c>
      <c r="D17" s="26" t="str">
        <f aca="false">Ratio_Analysis!H6</f>
        <v>Strong</v>
      </c>
    </row>
    <row r="18" customFormat="false" ht="15" hidden="false" customHeight="true" outlineLevel="0" collapsed="false">
      <c r="A18" s="11" t="s">
        <v>238</v>
      </c>
      <c r="B18" s="93" t="n">
        <f aca="false">Ratio_Analysis!E7</f>
        <v>2.63416230366492</v>
      </c>
      <c r="C18" s="30" t="s">
        <v>77</v>
      </c>
      <c r="D18" s="31" t="str">
        <f aca="false">Ratio_Analysis!H7</f>
        <v>Marginal</v>
      </c>
    </row>
    <row r="19" customFormat="false" ht="15" hidden="false" customHeight="true" outlineLevel="0" collapsed="false">
      <c r="A19" s="13" t="s">
        <v>78</v>
      </c>
      <c r="B19" s="94" t="n">
        <f aca="false">Ratio_Analysis!E8</f>
        <v>2.32258064516129</v>
      </c>
      <c r="C19" s="25" t="s">
        <v>80</v>
      </c>
      <c r="D19" s="26" t="str">
        <f aca="false">Ratio_Analysis!H8</f>
        <v>Strong</v>
      </c>
    </row>
    <row r="20" customFormat="false" ht="15" hidden="false" customHeight="true" outlineLevel="0" collapsed="false">
      <c r="A20" s="11" t="s">
        <v>239</v>
      </c>
      <c r="B20" s="93" t="n">
        <f aca="false">Collateral_Analysis!B14</f>
        <v>1.075</v>
      </c>
      <c r="C20" s="30" t="s">
        <v>83</v>
      </c>
      <c r="D20" s="31" t="str">
        <f aca="false">IF(Collateral_Analysis!B14&gt;=1,"Adequate","Deficient — Covenants Required")</f>
        <v>Adequate</v>
      </c>
    </row>
    <row r="21" customFormat="false" ht="15" hidden="false" customHeight="true" outlineLevel="0" collapsed="false">
      <c r="A21" s="13" t="s">
        <v>240</v>
      </c>
      <c r="B21" s="95" t="n">
        <v>392000</v>
      </c>
      <c r="C21" s="25" t="s">
        <v>241</v>
      </c>
      <c r="D21" s="26" t="s">
        <v>242</v>
      </c>
    </row>
    <row r="22" customFormat="false" ht="7.5" hidden="false" customHeight="true" outlineLevel="0" collapsed="false"/>
    <row r="23" customFormat="false" ht="15" hidden="false" customHeight="true" outlineLevel="0" collapsed="false">
      <c r="A23" s="4" t="s">
        <v>243</v>
      </c>
      <c r="B23" s="4"/>
      <c r="C23" s="4"/>
      <c r="D23" s="4"/>
    </row>
    <row r="24" customFormat="false" ht="15" hidden="false" customHeight="true" outlineLevel="0" collapsed="false">
      <c r="A24" s="5" t="s">
        <v>244</v>
      </c>
      <c r="B24" s="5" t="s">
        <v>245</v>
      </c>
      <c r="C24" s="5" t="s">
        <v>246</v>
      </c>
      <c r="D24" s="5" t="s">
        <v>247</v>
      </c>
    </row>
    <row r="25" customFormat="false" ht="18" hidden="false" customHeight="true" outlineLevel="0" collapsed="false">
      <c r="A25" s="96" t="s">
        <v>248</v>
      </c>
      <c r="B25" s="96" t="s">
        <v>249</v>
      </c>
      <c r="C25" s="96" t="s">
        <v>250</v>
      </c>
      <c r="D25" s="97" t="s">
        <v>251</v>
      </c>
    </row>
    <row r="26" customFormat="false" ht="18" hidden="false" customHeight="true" outlineLevel="0" collapsed="false">
      <c r="A26" s="98" t="s">
        <v>252</v>
      </c>
      <c r="B26" s="98" t="s">
        <v>242</v>
      </c>
      <c r="C26" s="98" t="s">
        <v>253</v>
      </c>
      <c r="D26" s="99" t="s">
        <v>254</v>
      </c>
    </row>
    <row r="27" customFormat="false" ht="18" hidden="false" customHeight="true" outlineLevel="0" collapsed="false">
      <c r="A27" s="100" t="s">
        <v>255</v>
      </c>
      <c r="B27" s="100" t="s">
        <v>256</v>
      </c>
      <c r="C27" s="100" t="s">
        <v>257</v>
      </c>
      <c r="D27" s="101" t="s">
        <v>258</v>
      </c>
    </row>
    <row r="28" customFormat="false" ht="18" hidden="false" customHeight="true" outlineLevel="0" collapsed="false">
      <c r="A28" s="102" t="s">
        <v>259</v>
      </c>
      <c r="B28" s="102" t="s">
        <v>260</v>
      </c>
      <c r="C28" s="102" t="s">
        <v>261</v>
      </c>
      <c r="D28" s="103" t="s">
        <v>262</v>
      </c>
    </row>
    <row r="29" customFormat="false" ht="7.5" hidden="false" customHeight="true" outlineLevel="0" collapsed="false"/>
    <row r="30" customFormat="false" ht="19.5" hidden="false" customHeight="true" outlineLevel="0" collapsed="false">
      <c r="A30" s="99" t="s">
        <v>263</v>
      </c>
      <c r="B30" s="99"/>
      <c r="C30" s="99"/>
      <c r="D30" s="99"/>
    </row>
    <row r="31" customFormat="false" ht="7.5" hidden="false" customHeight="true" outlineLevel="0" collapsed="false"/>
    <row r="32" customFormat="false" ht="21.75" hidden="false" customHeight="true" outlineLevel="0" collapsed="false">
      <c r="A32" s="4" t="s">
        <v>264</v>
      </c>
      <c r="B32" s="4"/>
      <c r="C32" s="4"/>
      <c r="D32" s="4"/>
    </row>
    <row r="33" customFormat="false" ht="18" hidden="false" customHeight="true" outlineLevel="0" collapsed="false">
      <c r="A33" s="13" t="s">
        <v>265</v>
      </c>
      <c r="B33" s="104" t="s">
        <v>266</v>
      </c>
      <c r="C33" s="104"/>
      <c r="D33" s="104"/>
    </row>
    <row r="34" customFormat="false" ht="18" hidden="false" customHeight="true" outlineLevel="0" collapsed="false">
      <c r="A34" s="13" t="s">
        <v>175</v>
      </c>
      <c r="B34" s="105" t="n">
        <f aca="false">Loan_Structure!B4</f>
        <v>8000000</v>
      </c>
      <c r="C34" s="105"/>
      <c r="D34" s="105"/>
    </row>
    <row r="35" customFormat="false" ht="18" hidden="false" customHeight="true" outlineLevel="0" collapsed="false">
      <c r="A35" s="13" t="s">
        <v>267</v>
      </c>
      <c r="B35" s="106" t="n">
        <f aca="false">Loan_Structure!B7</f>
        <v>0.0675</v>
      </c>
      <c r="C35" s="106"/>
      <c r="D35" s="106"/>
    </row>
    <row r="36" customFormat="false" ht="18" hidden="false" customHeight="true" outlineLevel="0" collapsed="false">
      <c r="A36" s="13" t="s">
        <v>268</v>
      </c>
      <c r="B36" s="56" t="s">
        <v>124</v>
      </c>
      <c r="C36" s="56"/>
      <c r="D36" s="56"/>
    </row>
    <row r="37" customFormat="false" ht="18" hidden="false" customHeight="true" outlineLevel="0" collapsed="false">
      <c r="A37" s="13" t="s">
        <v>269</v>
      </c>
      <c r="B37" s="107" t="str">
        <f aca="false">Credit_Scorecard!B16&amp;"/10 — "&amp;Credit_Scorecard!B17</f>
        <v>6/10 — Moderate Risk</v>
      </c>
      <c r="C37" s="107"/>
      <c r="D37" s="107"/>
    </row>
    <row r="38" customFormat="false" ht="18" hidden="false" customHeight="true" outlineLevel="0" collapsed="false">
      <c r="A38" s="13" t="s">
        <v>270</v>
      </c>
      <c r="B38" s="56" t="s">
        <v>271</v>
      </c>
      <c r="C38" s="56"/>
      <c r="D38" s="56"/>
    </row>
    <row r="39" customFormat="false" ht="18" hidden="false" customHeight="true" outlineLevel="0" collapsed="false">
      <c r="A39" s="13" t="s">
        <v>272</v>
      </c>
      <c r="B39" s="58" t="s">
        <v>273</v>
      </c>
      <c r="C39" s="58"/>
      <c r="D39" s="58"/>
    </row>
    <row r="40" customFormat="false" ht="18" hidden="false" customHeight="true" outlineLevel="0" collapsed="false">
      <c r="A40" s="13" t="s">
        <v>274</v>
      </c>
      <c r="B40" s="56" t="s">
        <v>275</v>
      </c>
      <c r="C40" s="56"/>
      <c r="D40" s="56"/>
    </row>
    <row r="41" customFormat="false" ht="39.75" hidden="false" customHeight="true" outlineLevel="0" collapsed="false">
      <c r="A41" s="13" t="s">
        <v>276</v>
      </c>
      <c r="B41" s="108" t="s">
        <v>277</v>
      </c>
      <c r="C41" s="108"/>
      <c r="D41" s="108"/>
    </row>
  </sheetData>
  <mergeCells count="24">
    <mergeCell ref="A1:D1"/>
    <mergeCell ref="A2:D2"/>
    <mergeCell ref="A3:D3"/>
    <mergeCell ref="A5:D5"/>
    <mergeCell ref="B6:D6"/>
    <mergeCell ref="B7:D7"/>
    <mergeCell ref="B8:D8"/>
    <mergeCell ref="B9:D9"/>
    <mergeCell ref="B10:D10"/>
    <mergeCell ref="B11:D11"/>
    <mergeCell ref="B12:D12"/>
    <mergeCell ref="A14:D14"/>
    <mergeCell ref="A23:D23"/>
    <mergeCell ref="A30:D30"/>
    <mergeCell ref="A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2026-06-22T06:00:25Z</dcterms:created>
  <dc:creator>openpyxl</dc:creator>
  <dc:description/>
  <dc:language>en-US</dc:language>
  <cp:lastModifiedBy/>
  <dcterms:modified xsi:type="dcterms:W3CDTF">2026-06-22T07:01:09Z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